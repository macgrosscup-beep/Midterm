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grosscup/Desktop/Biometry 2/biometry_whoops/"/>
    </mc:Choice>
  </mc:AlternateContent>
  <xr:revisionPtr revIDLastSave="0" documentId="13_ncr:1_{3A3FE477-AF42-4C4F-9546-69B619EF6334}" xr6:coauthVersionLast="47" xr6:coauthVersionMax="47" xr10:uidLastSave="{00000000-0000-0000-0000-000000000000}"/>
  <bookViews>
    <workbookView xWindow="10300" yWindow="640" windowWidth="17260" windowHeight="21700" xr2:uid="{FF695783-00E8-2B42-B015-E5E39B651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1" l="1"/>
  <c r="E17" i="1"/>
  <c r="E18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<sst xmlns="http://schemas.openxmlformats.org/spreadsheetml/2006/main" count="3094" uniqueCount="61">
  <si>
    <t>site</t>
  </si>
  <si>
    <t>plot</t>
  </si>
  <si>
    <t>species</t>
  </si>
  <si>
    <t>replicate</t>
  </si>
  <si>
    <t>leaf_thickness_mm</t>
  </si>
  <si>
    <t>plant_height_cm</t>
  </si>
  <si>
    <t>wet_mass_g</t>
  </si>
  <si>
    <t>dry_mass_g</t>
  </si>
  <si>
    <t>leaf_areas_cm2</t>
  </si>
  <si>
    <t>sla_cm_2</t>
  </si>
  <si>
    <t>leaf_salinity</t>
  </si>
  <si>
    <t>fds</t>
  </si>
  <si>
    <t>Sporobulus_virginicus</t>
  </si>
  <si>
    <t>Sesuvium_portulacastrum</t>
  </si>
  <si>
    <t xml:space="preserve">Fimbristylis_castanea  </t>
  </si>
  <si>
    <t>Uniola_paniculata</t>
  </si>
  <si>
    <t>Ipomoea_pes-caprae</t>
  </si>
  <si>
    <t>Fimbristylis_castanea</t>
  </si>
  <si>
    <t>Cakile_lanceolata</t>
  </si>
  <si>
    <t>Sporobolus_virginicus</t>
  </si>
  <si>
    <t>Panicum_amarum</t>
  </si>
  <si>
    <t>Euphorbia_mesembryanthemifolia</t>
  </si>
  <si>
    <t>soil_temperature</t>
  </si>
  <si>
    <t>soil_ph</t>
  </si>
  <si>
    <t>soil_salinity_ms</t>
  </si>
  <si>
    <t>%_cover</t>
  </si>
  <si>
    <t>cbp</t>
  </si>
  <si>
    <t>Langularia_racemosa</t>
  </si>
  <si>
    <t>Avicennia_germinans</t>
  </si>
  <si>
    <t>Blutaparon_vermiculare</t>
  </si>
  <si>
    <t>Sporobolus_bakeri</t>
  </si>
  <si>
    <t>Solidago_mexicana</t>
  </si>
  <si>
    <t>Schinus_terebinthifolia</t>
  </si>
  <si>
    <t>Eustachys_petraea</t>
  </si>
  <si>
    <t>Crotolaria_sp</t>
  </si>
  <si>
    <t>Baccharis_halimifolia</t>
  </si>
  <si>
    <t>eps</t>
  </si>
  <si>
    <t>Rhizophora_mangle</t>
  </si>
  <si>
    <t>Laguncularia_racemosa</t>
  </si>
  <si>
    <t>Suaeda_sp</t>
  </si>
  <si>
    <t>Conocarpus_erectus</t>
  </si>
  <si>
    <t>Dalbergia_ecastaphyllum</t>
  </si>
  <si>
    <t>Heliotropium_sp</t>
  </si>
  <si>
    <t>Coccoloba_uvifera</t>
  </si>
  <si>
    <t>Opuntia_stricta</t>
  </si>
  <si>
    <t>Agave_sp</t>
  </si>
  <si>
    <t>Forestiera_segregata</t>
  </si>
  <si>
    <t>Amaranthus_sp</t>
  </si>
  <si>
    <t>Chenopodium_sp</t>
  </si>
  <si>
    <t>Eugenia_axillaris</t>
  </si>
  <si>
    <t>Iresine_diffusa</t>
  </si>
  <si>
    <t>Cupaniopsis_anacardioides</t>
  </si>
  <si>
    <t>Sideroxylon_foetidissimum</t>
  </si>
  <si>
    <t>Toxicodendron_radicans</t>
  </si>
  <si>
    <t>Phytolacca_sp</t>
  </si>
  <si>
    <t>Commelina_erecta_var._angustifolia</t>
  </si>
  <si>
    <t>Tillandsia_fasciculata</t>
  </si>
  <si>
    <t>Tradescantia_sp</t>
  </si>
  <si>
    <t>Dalbergia_sp</t>
  </si>
  <si>
    <t>pp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</si>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</sst>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9691-6FE5-124C-AE08-ABBBA3EC6C28}">
  <dimension ref="A1:O1541"/>
  <sheetViews>
    <sheetView tabSelected="1" topLeftCell="A1510" workbookViewId="0">
      <selection activeCell="C1546" sqref="C1546"/>
    </sheetView>
  </sheetViews>
  <sheetFormatPr baseColWidth="10" defaultRowHeight="16" x14ac:dyDescent="0.2"/>
  <cols>
    <col min="3" max="3" width="29.1640625" bestFit="1" customWidth="1"/>
    <col min="5" max="5" width="16.6640625" bestFit="1" customWidth="1"/>
    <col min="6" max="6" width="14.5" bestFit="1" customWidth="1"/>
    <col min="9" max="9" width="13.83203125" bestFit="1" customWidth="1"/>
    <col min="12" max="12" width="13.83203125" bestFit="1" customWidth="1"/>
    <col min="13" max="13" width="1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24</v>
      </c>
      <c r="M1" t="s">
        <v>22</v>
      </c>
      <c r="N1" t="s">
        <v>23</v>
      </c>
      <c r="O1" t="s">
        <v>25</v>
      </c>
    </row>
    <row r="2" spans="1:15" x14ac:dyDescent="0.2">
      <c r="A2" t="s">
        <v>11</v>
      </c>
      <c r="B2">
        <v>1</v>
      </c>
      <c r="C2" s="1" t="s">
        <v>12</v>
      </c>
      <c r="D2">
        <v>1</v>
      </c>
      <c r="E2">
        <v>0.2286</v>
      </c>
      <c r="F2">
        <v>23</v>
      </c>
      <c r="G2">
        <v>0.01</v>
      </c>
      <c r="L2">
        <v>4</v>
      </c>
      <c r="O2">
        <v>5</v>
      </c>
    </row>
    <row r="3" spans="1:15" x14ac:dyDescent="0.2">
      <c r="A3" t="s">
        <v>11</v>
      </c>
      <c r="B3">
        <v>1</v>
      </c>
      <c r="C3" s="1" t="s">
        <v>12</v>
      </c>
      <c r="D3">
        <v>2</v>
      </c>
      <c r="E3">
        <v>0.254</v>
      </c>
      <c r="F3">
        <v>21.8</v>
      </c>
      <c r="G3">
        <v>0.02</v>
      </c>
      <c r="L3">
        <v>4</v>
      </c>
      <c r="O3">
        <v>5</v>
      </c>
    </row>
    <row r="4" spans="1:15" x14ac:dyDescent="0.2">
      <c r="A4" t="s">
        <v>11</v>
      </c>
      <c r="B4">
        <v>1</v>
      </c>
      <c r="C4" s="1" t="s">
        <v>12</v>
      </c>
      <c r="D4">
        <v>3</v>
      </c>
      <c r="E4">
        <v>0.20319999999999999</v>
      </c>
      <c r="F4">
        <v>24.2</v>
      </c>
      <c r="G4">
        <v>0.01</v>
      </c>
      <c r="L4">
        <v>4</v>
      </c>
      <c r="O4">
        <v>5</v>
      </c>
    </row>
    <row r="5" spans="1:15" x14ac:dyDescent="0.2">
      <c r="A5" t="s">
        <v>11</v>
      </c>
      <c r="B5">
        <v>1</v>
      </c>
      <c r="C5" s="1" t="s">
        <v>12</v>
      </c>
      <c r="D5">
        <v>4</v>
      </c>
      <c r="E5">
        <v>0.20319999999999999</v>
      </c>
      <c r="F5">
        <v>22.5</v>
      </c>
      <c r="G5">
        <v>0.01</v>
      </c>
      <c r="L5">
        <v>4</v>
      </c>
      <c r="O5">
        <v>5</v>
      </c>
    </row>
    <row r="6" spans="1:15" x14ac:dyDescent="0.2">
      <c r="A6" t="s">
        <v>11</v>
      </c>
      <c r="B6">
        <v>1</v>
      </c>
      <c r="C6" s="1" t="s">
        <v>12</v>
      </c>
      <c r="D6">
        <v>5</v>
      </c>
      <c r="E6">
        <v>0.20319999999999999</v>
      </c>
      <c r="F6">
        <v>25.1</v>
      </c>
      <c r="G6">
        <v>0.01</v>
      </c>
      <c r="L6">
        <v>4</v>
      </c>
      <c r="O6">
        <v>5</v>
      </c>
    </row>
    <row r="7" spans="1:15" x14ac:dyDescent="0.2">
      <c r="A7" t="s">
        <v>11</v>
      </c>
      <c r="B7">
        <v>1</v>
      </c>
      <c r="C7" s="1" t="s">
        <v>12</v>
      </c>
      <c r="D7">
        <v>6</v>
      </c>
      <c r="E7">
        <v>0.20319999999999999</v>
      </c>
      <c r="F7">
        <v>20.9</v>
      </c>
      <c r="G7">
        <v>0.01</v>
      </c>
      <c r="L7">
        <v>4</v>
      </c>
      <c r="O7">
        <v>5</v>
      </c>
    </row>
    <row r="8" spans="1:15" x14ac:dyDescent="0.2">
      <c r="A8" t="s">
        <v>11</v>
      </c>
      <c r="B8">
        <v>1</v>
      </c>
      <c r="C8" s="1" t="s">
        <v>12</v>
      </c>
      <c r="D8">
        <v>7</v>
      </c>
      <c r="E8">
        <v>0.20319999999999999</v>
      </c>
      <c r="F8">
        <v>23.6</v>
      </c>
      <c r="G8">
        <v>0.01</v>
      </c>
      <c r="L8">
        <v>4</v>
      </c>
      <c r="O8">
        <v>5</v>
      </c>
    </row>
    <row r="9" spans="1:15" x14ac:dyDescent="0.2">
      <c r="A9" t="s">
        <v>11</v>
      </c>
      <c r="B9">
        <v>1</v>
      </c>
      <c r="C9" s="1" t="s">
        <v>12</v>
      </c>
      <c r="D9">
        <v>8</v>
      </c>
      <c r="E9">
        <v>0.2286</v>
      </c>
      <c r="F9">
        <v>21.7</v>
      </c>
      <c r="G9">
        <v>0.01</v>
      </c>
      <c r="L9">
        <v>4</v>
      </c>
      <c r="O9">
        <v>5</v>
      </c>
    </row>
    <row r="10" spans="1:15" x14ac:dyDescent="0.2">
      <c r="A10" t="s">
        <v>11</v>
      </c>
      <c r="B10">
        <v>1</v>
      </c>
      <c r="C10" s="1" t="s">
        <v>12</v>
      </c>
      <c r="D10">
        <v>9</v>
      </c>
      <c r="E10">
        <v>0.20319999999999999</v>
      </c>
      <c r="F10">
        <v>24.7</v>
      </c>
      <c r="G10">
        <v>0.01</v>
      </c>
      <c r="L10">
        <v>4</v>
      </c>
      <c r="O10">
        <v>5</v>
      </c>
    </row>
    <row r="11" spans="1:15" x14ac:dyDescent="0.2">
      <c r="A11" t="s">
        <v>11</v>
      </c>
      <c r="B11">
        <v>1</v>
      </c>
      <c r="C11" t="s">
        <v>13</v>
      </c>
      <c r="D11">
        <v>1</v>
      </c>
      <c r="E11">
        <f>0.2413*25.4</f>
        <v>6.1290199999999997</v>
      </c>
      <c r="F11">
        <v>11.8</v>
      </c>
      <c r="G11">
        <v>0.4</v>
      </c>
      <c r="L11">
        <v>4</v>
      </c>
      <c r="O11">
        <v>5</v>
      </c>
    </row>
    <row r="12" spans="1:15" x14ac:dyDescent="0.2">
      <c r="A12" t="s">
        <v>11</v>
      </c>
      <c r="B12">
        <v>1</v>
      </c>
      <c r="C12" t="s">
        <v>13</v>
      </c>
      <c r="D12">
        <v>2</v>
      </c>
      <c r="E12">
        <f>0.32766*25.4</f>
        <v>8.3225639999999999</v>
      </c>
      <c r="F12">
        <v>10.7</v>
      </c>
      <c r="G12">
        <v>0.31</v>
      </c>
      <c r="L12">
        <v>4</v>
      </c>
      <c r="O12">
        <v>5</v>
      </c>
    </row>
    <row r="13" spans="1:15" x14ac:dyDescent="0.2">
      <c r="A13" t="s">
        <v>11</v>
      </c>
      <c r="B13">
        <v>1</v>
      </c>
      <c r="C13" t="s">
        <v>13</v>
      </c>
      <c r="D13">
        <v>3</v>
      </c>
      <c r="E13">
        <f>0.3429*25.4</f>
        <v>8.7096599999999995</v>
      </c>
      <c r="F13">
        <v>12.5</v>
      </c>
      <c r="G13">
        <v>0.65</v>
      </c>
      <c r="L13">
        <v>4</v>
      </c>
      <c r="O13">
        <v>5</v>
      </c>
    </row>
    <row r="14" spans="1:15" x14ac:dyDescent="0.2">
      <c r="A14" t="s">
        <v>11</v>
      </c>
      <c r="B14">
        <v>1</v>
      </c>
      <c r="C14" t="s">
        <v>13</v>
      </c>
      <c r="D14">
        <v>4</v>
      </c>
      <c r="E14">
        <f>0.254*25.4</f>
        <v>6.4516</v>
      </c>
      <c r="F14">
        <v>11.3</v>
      </c>
      <c r="G14">
        <v>0.31</v>
      </c>
      <c r="L14">
        <v>4</v>
      </c>
      <c r="O14">
        <v>5</v>
      </c>
    </row>
    <row r="15" spans="1:15" x14ac:dyDescent="0.2">
      <c r="A15" t="s">
        <v>11</v>
      </c>
      <c r="B15">
        <v>1</v>
      </c>
      <c r="C15" t="s">
        <v>13</v>
      </c>
      <c r="D15">
        <v>5</v>
      </c>
      <c r="E15">
        <f>0.2286*25.4</f>
        <v>5.8064399999999994</v>
      </c>
      <c r="F15">
        <v>13.1</v>
      </c>
      <c r="G15">
        <v>0.26</v>
      </c>
      <c r="L15">
        <v>4</v>
      </c>
      <c r="O15">
        <v>5</v>
      </c>
    </row>
    <row r="16" spans="1:15" x14ac:dyDescent="0.2">
      <c r="A16" t="s">
        <v>11</v>
      </c>
      <c r="B16">
        <v>1</v>
      </c>
      <c r="C16" t="s">
        <v>13</v>
      </c>
      <c r="D16">
        <v>6</v>
      </c>
      <c r="E16">
        <f>0.1778*25.4</f>
        <v>4.5161199999999999</v>
      </c>
      <c r="F16">
        <v>10.1</v>
      </c>
      <c r="G16">
        <v>0.27</v>
      </c>
      <c r="L16">
        <v>4</v>
      </c>
      <c r="O16">
        <v>5</v>
      </c>
    </row>
    <row r="17" spans="1:15" x14ac:dyDescent="0.2">
      <c r="A17" t="s">
        <v>11</v>
      </c>
      <c r="B17">
        <v>1</v>
      </c>
      <c r="C17" t="s">
        <v>13</v>
      </c>
      <c r="D17">
        <v>7</v>
      </c>
      <c r="E17">
        <f>0.24638*25.4</f>
        <v>6.2580519999999993</v>
      </c>
      <c r="F17">
        <v>12</v>
      </c>
      <c r="G17">
        <v>0.4</v>
      </c>
      <c r="L17">
        <v>4</v>
      </c>
      <c r="O17">
        <v>5</v>
      </c>
    </row>
    <row r="18" spans="1:15" x14ac:dyDescent="0.2">
      <c r="A18" t="s">
        <v>11</v>
      </c>
      <c r="B18">
        <v>1</v>
      </c>
      <c r="C18" t="s">
        <v>13</v>
      </c>
      <c r="D18">
        <v>8</v>
      </c>
      <c r="E18">
        <f>0.2667*25.4</f>
        <v>6.7741799999999994</v>
      </c>
      <c r="F18">
        <v>10.8</v>
      </c>
      <c r="G18">
        <v>0.26</v>
      </c>
      <c r="L18">
        <v>4</v>
      </c>
      <c r="O18">
        <v>5</v>
      </c>
    </row>
    <row r="19" spans="1:15" x14ac:dyDescent="0.2">
      <c r="A19" t="s">
        <v>11</v>
      </c>
      <c r="B19">
        <v>1</v>
      </c>
      <c r="C19" t="s">
        <v>13</v>
      </c>
      <c r="D19">
        <v>9</v>
      </c>
      <c r="E19">
        <f>0.2667*25.4</f>
        <v>6.7741799999999994</v>
      </c>
      <c r="F19">
        <v>12.7</v>
      </c>
      <c r="G19">
        <v>0.11</v>
      </c>
      <c r="L19">
        <v>4</v>
      </c>
    </row>
    <row r="20" spans="1:15" x14ac:dyDescent="0.2">
      <c r="A20" t="s">
        <v>11</v>
      </c>
      <c r="B20">
        <v>2</v>
      </c>
      <c r="L20">
        <v>4</v>
      </c>
      <c r="O20">
        <v>35</v>
      </c>
    </row>
    <row r="21" spans="1:15" x14ac:dyDescent="0.2">
      <c r="A21" t="s">
        <v>11</v>
      </c>
      <c r="B21">
        <v>3</v>
      </c>
      <c r="C21" t="s">
        <v>13</v>
      </c>
      <c r="D21">
        <v>1</v>
      </c>
      <c r="E21">
        <v>2.54</v>
      </c>
      <c r="F21">
        <v>9</v>
      </c>
      <c r="G21">
        <v>0.21</v>
      </c>
      <c r="L21">
        <v>4</v>
      </c>
      <c r="O21">
        <v>35</v>
      </c>
    </row>
    <row r="22" spans="1:15" x14ac:dyDescent="0.2">
      <c r="A22" t="s">
        <v>11</v>
      </c>
      <c r="B22">
        <v>3</v>
      </c>
      <c r="C22" t="s">
        <v>13</v>
      </c>
      <c r="D22">
        <v>2</v>
      </c>
      <c r="E22">
        <v>2.2859999999999996</v>
      </c>
      <c r="F22">
        <v>9</v>
      </c>
      <c r="G22">
        <v>0.19</v>
      </c>
      <c r="L22">
        <v>4</v>
      </c>
      <c r="O22">
        <v>35</v>
      </c>
    </row>
    <row r="23" spans="1:15" x14ac:dyDescent="0.2">
      <c r="A23" t="s">
        <v>11</v>
      </c>
      <c r="B23">
        <v>3</v>
      </c>
      <c r="C23" t="s">
        <v>13</v>
      </c>
      <c r="D23">
        <v>3</v>
      </c>
      <c r="E23">
        <v>1.9049999999999998</v>
      </c>
      <c r="F23">
        <v>8</v>
      </c>
      <c r="G23">
        <v>0.15</v>
      </c>
      <c r="L23">
        <v>4</v>
      </c>
      <c r="O23">
        <v>35</v>
      </c>
    </row>
    <row r="24" spans="1:15" x14ac:dyDescent="0.2">
      <c r="A24" t="s">
        <v>11</v>
      </c>
      <c r="B24">
        <v>3</v>
      </c>
      <c r="C24" t="s">
        <v>13</v>
      </c>
      <c r="D24">
        <v>4</v>
      </c>
      <c r="E24">
        <v>2.2859999999999996</v>
      </c>
      <c r="F24">
        <v>8</v>
      </c>
      <c r="G24">
        <v>0.21</v>
      </c>
      <c r="L24">
        <v>4</v>
      </c>
      <c r="O24">
        <v>35</v>
      </c>
    </row>
    <row r="25" spans="1:15" x14ac:dyDescent="0.2">
      <c r="A25" t="s">
        <v>11</v>
      </c>
      <c r="B25">
        <v>3</v>
      </c>
      <c r="C25" t="s">
        <v>13</v>
      </c>
      <c r="D25">
        <v>5</v>
      </c>
      <c r="E25">
        <v>2.032</v>
      </c>
      <c r="F25">
        <v>12</v>
      </c>
      <c r="G25">
        <v>0.14000000000000001</v>
      </c>
      <c r="L25">
        <v>4</v>
      </c>
      <c r="O25">
        <v>35</v>
      </c>
    </row>
    <row r="26" spans="1:15" x14ac:dyDescent="0.2">
      <c r="A26" t="s">
        <v>11</v>
      </c>
      <c r="B26">
        <v>3</v>
      </c>
      <c r="C26" t="s">
        <v>13</v>
      </c>
      <c r="D26">
        <v>6</v>
      </c>
      <c r="E26">
        <v>2.1590000000000003</v>
      </c>
      <c r="F26">
        <v>12.5</v>
      </c>
      <c r="G26">
        <v>0.2</v>
      </c>
      <c r="L26">
        <v>4</v>
      </c>
      <c r="O26">
        <v>35</v>
      </c>
    </row>
    <row r="27" spans="1:15" x14ac:dyDescent="0.2">
      <c r="A27" t="s">
        <v>11</v>
      </c>
      <c r="B27">
        <v>3</v>
      </c>
      <c r="C27" t="s">
        <v>13</v>
      </c>
      <c r="D27">
        <v>7</v>
      </c>
      <c r="E27">
        <v>2.4129999999999998</v>
      </c>
      <c r="F27">
        <v>8.5</v>
      </c>
      <c r="G27">
        <v>0.18</v>
      </c>
      <c r="L27">
        <v>4</v>
      </c>
      <c r="O27">
        <v>35</v>
      </c>
    </row>
    <row r="28" spans="1:15" x14ac:dyDescent="0.2">
      <c r="A28" t="s">
        <v>11</v>
      </c>
      <c r="B28">
        <v>3</v>
      </c>
      <c r="C28" t="s">
        <v>13</v>
      </c>
      <c r="D28">
        <v>8</v>
      </c>
      <c r="E28">
        <v>1.5748</v>
      </c>
      <c r="F28">
        <v>8.5</v>
      </c>
      <c r="G28">
        <v>0.19</v>
      </c>
      <c r="L28">
        <v>4</v>
      </c>
      <c r="O28">
        <v>35</v>
      </c>
    </row>
    <row r="29" spans="1:15" x14ac:dyDescent="0.2">
      <c r="A29" t="s">
        <v>11</v>
      </c>
      <c r="B29">
        <v>3</v>
      </c>
      <c r="C29" t="s">
        <v>13</v>
      </c>
      <c r="D29">
        <v>9</v>
      </c>
      <c r="E29">
        <v>1.5493999999999999</v>
      </c>
      <c r="F29">
        <v>9</v>
      </c>
      <c r="G29">
        <v>0.16</v>
      </c>
      <c r="L29">
        <v>4</v>
      </c>
      <c r="O29">
        <v>35</v>
      </c>
    </row>
    <row r="30" spans="1:15" x14ac:dyDescent="0.2">
      <c r="A30" t="s">
        <v>11</v>
      </c>
      <c r="B30">
        <v>4</v>
      </c>
      <c r="C30" s="1" t="s">
        <v>13</v>
      </c>
      <c r="D30">
        <v>1</v>
      </c>
      <c r="E30">
        <v>2.54</v>
      </c>
      <c r="F30">
        <v>13</v>
      </c>
      <c r="G30">
        <v>0.28999999999999998</v>
      </c>
      <c r="L30">
        <v>3.81</v>
      </c>
      <c r="O30">
        <v>50</v>
      </c>
    </row>
    <row r="31" spans="1:15" x14ac:dyDescent="0.2">
      <c r="A31" t="s">
        <v>11</v>
      </c>
      <c r="B31">
        <v>4</v>
      </c>
      <c r="C31" s="1" t="s">
        <v>13</v>
      </c>
      <c r="D31">
        <v>2</v>
      </c>
      <c r="E31">
        <v>3.0479999999999996</v>
      </c>
      <c r="F31">
        <v>14</v>
      </c>
      <c r="G31">
        <v>0.36</v>
      </c>
      <c r="L31">
        <v>3.81</v>
      </c>
      <c r="O31">
        <v>50</v>
      </c>
    </row>
    <row r="32" spans="1:15" x14ac:dyDescent="0.2">
      <c r="A32" t="s">
        <v>11</v>
      </c>
      <c r="B32">
        <v>4</v>
      </c>
      <c r="C32" s="1" t="s">
        <v>13</v>
      </c>
      <c r="D32">
        <v>3</v>
      </c>
      <c r="E32">
        <v>2.794</v>
      </c>
      <c r="F32">
        <v>15</v>
      </c>
      <c r="G32">
        <v>0.4</v>
      </c>
      <c r="L32">
        <v>3.81</v>
      </c>
      <c r="O32">
        <v>50</v>
      </c>
    </row>
    <row r="33" spans="1:15" x14ac:dyDescent="0.2">
      <c r="A33" t="s">
        <v>11</v>
      </c>
      <c r="B33">
        <v>4</v>
      </c>
      <c r="C33" s="1" t="s">
        <v>13</v>
      </c>
      <c r="D33">
        <v>4</v>
      </c>
      <c r="E33">
        <v>2.9209999999999998</v>
      </c>
      <c r="F33">
        <v>13</v>
      </c>
      <c r="G33">
        <v>0.28999999999999998</v>
      </c>
      <c r="L33">
        <v>3.81</v>
      </c>
      <c r="O33">
        <v>50</v>
      </c>
    </row>
    <row r="34" spans="1:15" x14ac:dyDescent="0.2">
      <c r="A34" t="s">
        <v>11</v>
      </c>
      <c r="B34">
        <v>4</v>
      </c>
      <c r="C34" s="1" t="s">
        <v>13</v>
      </c>
      <c r="D34">
        <v>5</v>
      </c>
      <c r="E34">
        <v>2.4129999999999998</v>
      </c>
      <c r="F34">
        <v>10</v>
      </c>
      <c r="G34">
        <v>0.39</v>
      </c>
      <c r="L34">
        <v>3.81</v>
      </c>
      <c r="O34">
        <v>50</v>
      </c>
    </row>
    <row r="35" spans="1:15" x14ac:dyDescent="0.2">
      <c r="A35" t="s">
        <v>11</v>
      </c>
      <c r="B35">
        <v>4</v>
      </c>
      <c r="C35" s="1" t="s">
        <v>13</v>
      </c>
      <c r="D35">
        <v>6</v>
      </c>
      <c r="E35">
        <v>2.032</v>
      </c>
      <c r="F35">
        <v>18</v>
      </c>
      <c r="G35">
        <v>0.28000000000000003</v>
      </c>
      <c r="L35">
        <v>3.81</v>
      </c>
      <c r="O35">
        <v>50</v>
      </c>
    </row>
    <row r="36" spans="1:15" x14ac:dyDescent="0.2">
      <c r="A36" t="s">
        <v>11</v>
      </c>
      <c r="B36">
        <v>4</v>
      </c>
      <c r="C36" s="1" t="s">
        <v>13</v>
      </c>
      <c r="D36">
        <v>7</v>
      </c>
      <c r="E36">
        <v>2.794</v>
      </c>
      <c r="F36">
        <v>15</v>
      </c>
      <c r="G36">
        <v>0.38</v>
      </c>
      <c r="L36">
        <v>3.81</v>
      </c>
      <c r="O36">
        <v>50</v>
      </c>
    </row>
    <row r="37" spans="1:15" x14ac:dyDescent="0.2">
      <c r="A37" t="s">
        <v>11</v>
      </c>
      <c r="B37">
        <v>4</v>
      </c>
      <c r="C37" s="1" t="s">
        <v>13</v>
      </c>
      <c r="D37">
        <v>8</v>
      </c>
      <c r="E37">
        <v>3.0987999999999998</v>
      </c>
      <c r="F37">
        <v>14</v>
      </c>
      <c r="G37">
        <v>0.31</v>
      </c>
      <c r="L37">
        <v>3.81</v>
      </c>
      <c r="O37">
        <v>50</v>
      </c>
    </row>
    <row r="38" spans="1:15" x14ac:dyDescent="0.2">
      <c r="A38" t="s">
        <v>11</v>
      </c>
      <c r="B38">
        <v>4</v>
      </c>
      <c r="C38" s="1" t="s">
        <v>13</v>
      </c>
      <c r="D38">
        <v>9</v>
      </c>
      <c r="E38">
        <v>2.8956</v>
      </c>
      <c r="F38">
        <v>15</v>
      </c>
      <c r="G38">
        <v>0.21</v>
      </c>
      <c r="L38">
        <v>3.81</v>
      </c>
      <c r="O38">
        <v>50</v>
      </c>
    </row>
    <row r="39" spans="1:15" x14ac:dyDescent="0.2">
      <c r="A39" t="s">
        <v>11</v>
      </c>
      <c r="B39">
        <v>4</v>
      </c>
      <c r="C39" t="s">
        <v>14</v>
      </c>
      <c r="D39">
        <v>1</v>
      </c>
      <c r="E39">
        <v>0.66039999999999999</v>
      </c>
      <c r="F39">
        <v>46</v>
      </c>
      <c r="G39">
        <v>0.23</v>
      </c>
      <c r="L39">
        <v>3.81</v>
      </c>
      <c r="O39">
        <v>1</v>
      </c>
    </row>
    <row r="40" spans="1:15" x14ac:dyDescent="0.2">
      <c r="A40" t="s">
        <v>11</v>
      </c>
      <c r="B40">
        <v>4</v>
      </c>
      <c r="C40" t="s">
        <v>14</v>
      </c>
      <c r="D40">
        <v>2</v>
      </c>
      <c r="E40">
        <v>0.81279999999999997</v>
      </c>
      <c r="F40">
        <v>43.8</v>
      </c>
      <c r="G40">
        <v>0.28999999999999998</v>
      </c>
      <c r="L40">
        <v>3.81</v>
      </c>
      <c r="O40">
        <v>1</v>
      </c>
    </row>
    <row r="41" spans="1:15" x14ac:dyDescent="0.2">
      <c r="A41" t="s">
        <v>11</v>
      </c>
      <c r="B41">
        <v>4</v>
      </c>
      <c r="C41" t="s">
        <v>14</v>
      </c>
      <c r="D41">
        <v>3</v>
      </c>
      <c r="E41">
        <v>0.88900000000000001</v>
      </c>
      <c r="F41">
        <v>48.6</v>
      </c>
      <c r="G41">
        <v>0.19</v>
      </c>
      <c r="L41">
        <v>3.81</v>
      </c>
      <c r="O41">
        <v>1</v>
      </c>
    </row>
    <row r="42" spans="1:15" x14ac:dyDescent="0.2">
      <c r="A42" t="s">
        <v>11</v>
      </c>
      <c r="B42">
        <v>4</v>
      </c>
      <c r="C42" t="s">
        <v>14</v>
      </c>
      <c r="D42">
        <v>4</v>
      </c>
      <c r="E42">
        <v>0.81279999999999997</v>
      </c>
      <c r="F42">
        <v>45.1</v>
      </c>
      <c r="G42">
        <v>0.13</v>
      </c>
      <c r="L42">
        <v>3.81</v>
      </c>
      <c r="O42">
        <v>1</v>
      </c>
    </row>
    <row r="43" spans="1:15" x14ac:dyDescent="0.2">
      <c r="A43" t="s">
        <v>11</v>
      </c>
      <c r="B43">
        <v>4</v>
      </c>
      <c r="C43" t="s">
        <v>14</v>
      </c>
      <c r="D43">
        <v>5</v>
      </c>
      <c r="E43">
        <v>0.96519999999999995</v>
      </c>
      <c r="F43">
        <v>50.2</v>
      </c>
      <c r="G43">
        <v>0.28999999999999998</v>
      </c>
      <c r="L43">
        <v>3.81</v>
      </c>
      <c r="O43">
        <v>1</v>
      </c>
    </row>
    <row r="44" spans="1:15" x14ac:dyDescent="0.2">
      <c r="A44" t="s">
        <v>11</v>
      </c>
      <c r="B44">
        <v>4</v>
      </c>
      <c r="C44" t="s">
        <v>14</v>
      </c>
      <c r="D44">
        <v>6</v>
      </c>
      <c r="E44">
        <v>1.0668</v>
      </c>
      <c r="F44">
        <v>42.4</v>
      </c>
      <c r="G44">
        <v>0.21</v>
      </c>
      <c r="L44">
        <v>3.81</v>
      </c>
      <c r="O44">
        <v>1</v>
      </c>
    </row>
    <row r="45" spans="1:15" x14ac:dyDescent="0.2">
      <c r="A45" t="s">
        <v>11</v>
      </c>
      <c r="B45">
        <v>4</v>
      </c>
      <c r="C45" t="s">
        <v>14</v>
      </c>
      <c r="D45">
        <v>7</v>
      </c>
      <c r="E45">
        <v>0.66039999999999999</v>
      </c>
      <c r="F45">
        <v>47.3</v>
      </c>
      <c r="G45">
        <v>0.18</v>
      </c>
      <c r="L45">
        <v>3.81</v>
      </c>
      <c r="O45">
        <v>1</v>
      </c>
    </row>
    <row r="46" spans="1:15" x14ac:dyDescent="0.2">
      <c r="A46" t="s">
        <v>11</v>
      </c>
      <c r="B46">
        <v>4</v>
      </c>
      <c r="C46" t="s">
        <v>14</v>
      </c>
      <c r="D46">
        <v>8</v>
      </c>
      <c r="E46">
        <v>0.63500000000000001</v>
      </c>
      <c r="F46">
        <v>44.5</v>
      </c>
      <c r="G46">
        <v>0.28999999999999998</v>
      </c>
      <c r="L46">
        <v>3.81</v>
      </c>
      <c r="O46">
        <v>1</v>
      </c>
    </row>
    <row r="47" spans="1:15" x14ac:dyDescent="0.2">
      <c r="A47" t="s">
        <v>11</v>
      </c>
      <c r="B47">
        <v>4</v>
      </c>
      <c r="C47" t="s">
        <v>14</v>
      </c>
      <c r="D47">
        <v>9</v>
      </c>
      <c r="E47">
        <v>0.88900000000000001</v>
      </c>
      <c r="F47">
        <v>49.1</v>
      </c>
      <c r="G47">
        <v>0.24</v>
      </c>
      <c r="L47">
        <v>3.81</v>
      </c>
      <c r="O47">
        <v>1</v>
      </c>
    </row>
    <row r="48" spans="1:15" x14ac:dyDescent="0.2">
      <c r="A48" t="s">
        <v>11</v>
      </c>
      <c r="B48">
        <v>5</v>
      </c>
      <c r="C48" t="s">
        <v>13</v>
      </c>
      <c r="D48">
        <v>1</v>
      </c>
      <c r="E48">
        <v>2.8447999999999998</v>
      </c>
      <c r="F48">
        <v>11</v>
      </c>
      <c r="G48">
        <v>0.12</v>
      </c>
      <c r="L48">
        <v>2.25</v>
      </c>
      <c r="O48">
        <v>1</v>
      </c>
    </row>
    <row r="49" spans="1:15" x14ac:dyDescent="0.2">
      <c r="A49" t="s">
        <v>11</v>
      </c>
      <c r="B49">
        <v>5</v>
      </c>
      <c r="C49" t="s">
        <v>13</v>
      </c>
      <c r="D49">
        <v>2</v>
      </c>
      <c r="E49">
        <v>2.794</v>
      </c>
      <c r="F49">
        <v>5</v>
      </c>
      <c r="G49">
        <v>0.2</v>
      </c>
      <c r="L49">
        <v>2.25</v>
      </c>
      <c r="O49">
        <v>1</v>
      </c>
    </row>
    <row r="50" spans="1:15" x14ac:dyDescent="0.2">
      <c r="A50" t="s">
        <v>11</v>
      </c>
      <c r="B50">
        <v>5</v>
      </c>
      <c r="C50" t="s">
        <v>13</v>
      </c>
      <c r="D50">
        <v>3</v>
      </c>
      <c r="E50">
        <v>2.4129999999999998</v>
      </c>
      <c r="F50">
        <v>10.4</v>
      </c>
      <c r="G50">
        <v>0.15</v>
      </c>
      <c r="L50">
        <v>2.25</v>
      </c>
      <c r="O50">
        <v>1</v>
      </c>
    </row>
    <row r="51" spans="1:15" x14ac:dyDescent="0.2">
      <c r="A51" t="s">
        <v>11</v>
      </c>
      <c r="B51">
        <v>5</v>
      </c>
      <c r="C51" t="s">
        <v>13</v>
      </c>
      <c r="D51">
        <v>4</v>
      </c>
      <c r="E51">
        <v>2.6669999999999998</v>
      </c>
      <c r="F51">
        <v>4.5999999999999996</v>
      </c>
      <c r="G51">
        <v>0.2</v>
      </c>
      <c r="L51">
        <v>2.25</v>
      </c>
      <c r="O51">
        <v>1</v>
      </c>
    </row>
    <row r="52" spans="1:15" x14ac:dyDescent="0.2">
      <c r="A52" t="s">
        <v>11</v>
      </c>
      <c r="B52">
        <v>5</v>
      </c>
      <c r="C52" t="s">
        <v>13</v>
      </c>
      <c r="D52">
        <v>5</v>
      </c>
      <c r="E52">
        <v>2.5907999999999998</v>
      </c>
      <c r="F52">
        <v>12.1</v>
      </c>
      <c r="G52">
        <v>0.21</v>
      </c>
      <c r="L52">
        <v>2.25</v>
      </c>
      <c r="O52">
        <v>1</v>
      </c>
    </row>
    <row r="53" spans="1:15" x14ac:dyDescent="0.2">
      <c r="A53" t="s">
        <v>11</v>
      </c>
      <c r="B53">
        <v>5</v>
      </c>
      <c r="C53" t="s">
        <v>13</v>
      </c>
      <c r="D53">
        <v>6</v>
      </c>
      <c r="E53">
        <v>2.9718</v>
      </c>
      <c r="F53">
        <v>5.5</v>
      </c>
      <c r="G53">
        <v>0.22</v>
      </c>
      <c r="L53">
        <v>2.25</v>
      </c>
      <c r="O53">
        <v>1</v>
      </c>
    </row>
    <row r="54" spans="1:15" x14ac:dyDescent="0.2">
      <c r="A54" t="s">
        <v>11</v>
      </c>
      <c r="B54">
        <v>5</v>
      </c>
      <c r="C54" t="s">
        <v>13</v>
      </c>
      <c r="D54">
        <v>7</v>
      </c>
      <c r="E54">
        <v>2.8702000000000001</v>
      </c>
      <c r="F54">
        <v>10.8</v>
      </c>
      <c r="G54">
        <v>0.15</v>
      </c>
      <c r="L54">
        <v>2.25</v>
      </c>
      <c r="O54">
        <v>1</v>
      </c>
    </row>
    <row r="55" spans="1:15" x14ac:dyDescent="0.2">
      <c r="A55" t="s">
        <v>11</v>
      </c>
      <c r="B55">
        <v>5</v>
      </c>
      <c r="C55" t="s">
        <v>13</v>
      </c>
      <c r="D55">
        <v>8</v>
      </c>
      <c r="E55">
        <v>2.9464000000000001</v>
      </c>
      <c r="F55">
        <v>4.9000000000000004</v>
      </c>
      <c r="G55">
        <v>0.23</v>
      </c>
      <c r="L55">
        <v>2.25</v>
      </c>
      <c r="O55">
        <v>1</v>
      </c>
    </row>
    <row r="56" spans="1:15" x14ac:dyDescent="0.2">
      <c r="A56" t="s">
        <v>11</v>
      </c>
      <c r="B56">
        <v>5</v>
      </c>
      <c r="C56" t="s">
        <v>13</v>
      </c>
      <c r="D56">
        <v>9</v>
      </c>
      <c r="E56">
        <v>2.6415999999999999</v>
      </c>
      <c r="F56">
        <v>11.7</v>
      </c>
      <c r="G56">
        <v>0.15</v>
      </c>
      <c r="L56">
        <v>2.25</v>
      </c>
      <c r="O56">
        <v>1</v>
      </c>
    </row>
    <row r="57" spans="1:15" x14ac:dyDescent="0.2">
      <c r="A57" t="s">
        <v>11</v>
      </c>
      <c r="B57">
        <v>5</v>
      </c>
      <c r="C57" t="s">
        <v>15</v>
      </c>
      <c r="D57">
        <v>1</v>
      </c>
      <c r="E57">
        <v>0.45719999999999994</v>
      </c>
      <c r="F57">
        <v>71</v>
      </c>
      <c r="G57">
        <v>0.96</v>
      </c>
      <c r="L57">
        <v>2.25</v>
      </c>
      <c r="O57">
        <v>5</v>
      </c>
    </row>
    <row r="58" spans="1:15" x14ac:dyDescent="0.2">
      <c r="A58" t="s">
        <v>11</v>
      </c>
      <c r="B58">
        <v>5</v>
      </c>
      <c r="C58" t="s">
        <v>15</v>
      </c>
      <c r="D58">
        <v>2</v>
      </c>
      <c r="E58">
        <v>0.63500000000000001</v>
      </c>
      <c r="F58">
        <v>94.2</v>
      </c>
      <c r="G58">
        <v>1.44</v>
      </c>
      <c r="L58">
        <v>2.25</v>
      </c>
      <c r="O58">
        <v>5</v>
      </c>
    </row>
    <row r="59" spans="1:15" x14ac:dyDescent="0.2">
      <c r="A59" t="s">
        <v>11</v>
      </c>
      <c r="B59">
        <v>5</v>
      </c>
      <c r="C59" t="s">
        <v>15</v>
      </c>
      <c r="D59">
        <v>3</v>
      </c>
      <c r="E59">
        <v>0.88900000000000001</v>
      </c>
      <c r="F59">
        <v>68.400000000000006</v>
      </c>
      <c r="G59">
        <v>1.43</v>
      </c>
      <c r="L59">
        <v>2.25</v>
      </c>
      <c r="O59">
        <v>5</v>
      </c>
    </row>
    <row r="60" spans="1:15" x14ac:dyDescent="0.2">
      <c r="A60" t="s">
        <v>11</v>
      </c>
      <c r="B60">
        <v>5</v>
      </c>
      <c r="C60" t="s">
        <v>15</v>
      </c>
      <c r="D60">
        <v>4</v>
      </c>
      <c r="E60">
        <v>0.83819999999999995</v>
      </c>
      <c r="F60">
        <v>90.7</v>
      </c>
      <c r="G60">
        <v>2.46</v>
      </c>
      <c r="L60">
        <v>2.25</v>
      </c>
      <c r="O60">
        <v>5</v>
      </c>
    </row>
    <row r="61" spans="1:15" x14ac:dyDescent="0.2">
      <c r="A61" t="s">
        <v>11</v>
      </c>
      <c r="B61">
        <v>5</v>
      </c>
      <c r="C61" t="s">
        <v>15</v>
      </c>
      <c r="D61">
        <v>5</v>
      </c>
      <c r="E61">
        <v>0.45719999999999994</v>
      </c>
      <c r="F61">
        <v>74.8</v>
      </c>
      <c r="G61">
        <v>0.95</v>
      </c>
      <c r="L61">
        <v>2.25</v>
      </c>
      <c r="O61">
        <v>5</v>
      </c>
    </row>
    <row r="62" spans="1:15" x14ac:dyDescent="0.2">
      <c r="A62" t="s">
        <v>11</v>
      </c>
      <c r="B62">
        <v>5</v>
      </c>
      <c r="C62" t="s">
        <v>15</v>
      </c>
      <c r="D62">
        <v>6</v>
      </c>
      <c r="E62">
        <v>0.71119999999999994</v>
      </c>
      <c r="F62">
        <v>98.6</v>
      </c>
      <c r="G62">
        <v>2.09</v>
      </c>
      <c r="L62">
        <v>2.25</v>
      </c>
      <c r="O62">
        <v>5</v>
      </c>
    </row>
    <row r="63" spans="1:15" x14ac:dyDescent="0.2">
      <c r="A63" t="s">
        <v>11</v>
      </c>
      <c r="B63">
        <v>5</v>
      </c>
      <c r="C63" t="s">
        <v>15</v>
      </c>
      <c r="D63">
        <v>7</v>
      </c>
      <c r="E63">
        <v>0.63500000000000001</v>
      </c>
      <c r="F63">
        <v>69.900000000000006</v>
      </c>
      <c r="G63">
        <v>1.35</v>
      </c>
      <c r="L63">
        <v>2.25</v>
      </c>
      <c r="O63">
        <v>5</v>
      </c>
    </row>
    <row r="64" spans="1:15" x14ac:dyDescent="0.2">
      <c r="A64" t="s">
        <v>11</v>
      </c>
      <c r="B64">
        <v>5</v>
      </c>
      <c r="C64" t="s">
        <v>15</v>
      </c>
      <c r="D64">
        <v>8</v>
      </c>
      <c r="E64">
        <v>0.55879999999999996</v>
      </c>
      <c r="F64">
        <v>92.1</v>
      </c>
      <c r="G64">
        <v>2.3199999999999998</v>
      </c>
      <c r="L64">
        <v>2.25</v>
      </c>
      <c r="O64">
        <v>5</v>
      </c>
    </row>
    <row r="65" spans="1:15" x14ac:dyDescent="0.2">
      <c r="A65" t="s">
        <v>11</v>
      </c>
      <c r="B65">
        <v>5</v>
      </c>
      <c r="C65" t="s">
        <v>15</v>
      </c>
      <c r="D65">
        <v>9</v>
      </c>
      <c r="E65">
        <v>0.66039999999999999</v>
      </c>
      <c r="F65">
        <v>76.3</v>
      </c>
      <c r="G65">
        <v>1.58</v>
      </c>
      <c r="L65">
        <v>2.25</v>
      </c>
      <c r="O65">
        <v>5</v>
      </c>
    </row>
    <row r="66" spans="1:15" x14ac:dyDescent="0.2">
      <c r="A66" t="s">
        <v>11</v>
      </c>
      <c r="B66">
        <v>6</v>
      </c>
      <c r="C66" t="s">
        <v>13</v>
      </c>
      <c r="D66">
        <v>1</v>
      </c>
      <c r="E66">
        <v>2.9718</v>
      </c>
      <c r="F66">
        <v>14</v>
      </c>
      <c r="G66">
        <v>0.28999999999999998</v>
      </c>
      <c r="L66">
        <v>7.0000000000000007E-2</v>
      </c>
      <c r="O66">
        <v>20</v>
      </c>
    </row>
    <row r="67" spans="1:15" x14ac:dyDescent="0.2">
      <c r="A67" t="s">
        <v>11</v>
      </c>
      <c r="B67">
        <v>6</v>
      </c>
      <c r="C67" t="s">
        <v>13</v>
      </c>
      <c r="D67">
        <v>2</v>
      </c>
      <c r="E67">
        <v>2.9209999999999998</v>
      </c>
      <c r="F67">
        <v>11</v>
      </c>
      <c r="G67">
        <v>0.3</v>
      </c>
      <c r="L67">
        <v>7.0000000000000007E-2</v>
      </c>
      <c r="O67">
        <v>20</v>
      </c>
    </row>
    <row r="68" spans="1:15" x14ac:dyDescent="0.2">
      <c r="A68" t="s">
        <v>11</v>
      </c>
      <c r="B68">
        <v>6</v>
      </c>
      <c r="C68" t="s">
        <v>13</v>
      </c>
      <c r="D68">
        <v>3</v>
      </c>
      <c r="E68">
        <v>0.7619999999999999</v>
      </c>
      <c r="F68">
        <v>13.2</v>
      </c>
      <c r="G68">
        <v>0.18</v>
      </c>
      <c r="L68">
        <v>7.0000000000000007E-2</v>
      </c>
      <c r="O68">
        <v>20</v>
      </c>
    </row>
    <row r="69" spans="1:15" x14ac:dyDescent="0.2">
      <c r="A69" t="s">
        <v>11</v>
      </c>
      <c r="B69">
        <v>6</v>
      </c>
      <c r="C69" t="s">
        <v>13</v>
      </c>
      <c r="D69">
        <v>4</v>
      </c>
      <c r="E69">
        <v>2.9971999999999999</v>
      </c>
      <c r="F69">
        <v>10.4</v>
      </c>
      <c r="G69">
        <v>0.21</v>
      </c>
      <c r="L69">
        <v>7.0000000000000007E-2</v>
      </c>
      <c r="O69">
        <v>20</v>
      </c>
    </row>
    <row r="70" spans="1:15" x14ac:dyDescent="0.2">
      <c r="A70" t="s">
        <v>11</v>
      </c>
      <c r="B70">
        <v>6</v>
      </c>
      <c r="C70" t="s">
        <v>13</v>
      </c>
      <c r="D70">
        <v>5</v>
      </c>
      <c r="E70">
        <v>1.0439399999999999</v>
      </c>
      <c r="F70">
        <v>15.1</v>
      </c>
      <c r="G70">
        <v>0.19</v>
      </c>
      <c r="L70">
        <v>7.0000000000000007E-2</v>
      </c>
      <c r="O70">
        <v>20</v>
      </c>
    </row>
    <row r="71" spans="1:15" x14ac:dyDescent="0.2">
      <c r="A71" t="s">
        <v>11</v>
      </c>
      <c r="B71">
        <v>6</v>
      </c>
      <c r="C71" t="s">
        <v>13</v>
      </c>
      <c r="D71">
        <v>6</v>
      </c>
      <c r="E71">
        <v>2.8956</v>
      </c>
      <c r="F71">
        <v>11.8</v>
      </c>
      <c r="G71">
        <v>0.28999999999999998</v>
      </c>
      <c r="L71">
        <v>7.0000000000000007E-2</v>
      </c>
      <c r="O71">
        <v>20</v>
      </c>
    </row>
    <row r="72" spans="1:15" x14ac:dyDescent="0.2">
      <c r="A72" t="s">
        <v>11</v>
      </c>
      <c r="B72">
        <v>6</v>
      </c>
      <c r="C72" t="s">
        <v>13</v>
      </c>
      <c r="D72">
        <v>7</v>
      </c>
      <c r="E72">
        <v>0.86360000000000003</v>
      </c>
      <c r="F72">
        <v>13.6</v>
      </c>
      <c r="G72">
        <v>0.11</v>
      </c>
      <c r="L72">
        <v>7.0000000000000007E-2</v>
      </c>
      <c r="O72">
        <v>20</v>
      </c>
    </row>
    <row r="73" spans="1:15" x14ac:dyDescent="0.2">
      <c r="A73" t="s">
        <v>11</v>
      </c>
      <c r="B73">
        <v>6</v>
      </c>
      <c r="C73" t="s">
        <v>13</v>
      </c>
      <c r="D73">
        <v>8</v>
      </c>
      <c r="E73">
        <v>0.79501999999999995</v>
      </c>
      <c r="F73">
        <v>10.7</v>
      </c>
      <c r="G73">
        <v>0.21</v>
      </c>
      <c r="L73">
        <v>7.0000000000000007E-2</v>
      </c>
      <c r="O73">
        <v>20</v>
      </c>
    </row>
    <row r="74" spans="1:15" x14ac:dyDescent="0.2">
      <c r="A74" t="s">
        <v>11</v>
      </c>
      <c r="B74">
        <v>6</v>
      </c>
      <c r="C74" t="s">
        <v>13</v>
      </c>
      <c r="D74">
        <v>9</v>
      </c>
      <c r="E74">
        <v>0.80009999999999992</v>
      </c>
      <c r="F74">
        <v>14.7</v>
      </c>
      <c r="G74">
        <v>0.18</v>
      </c>
      <c r="L74">
        <v>7.0000000000000007E-2</v>
      </c>
      <c r="O74">
        <v>20</v>
      </c>
    </row>
    <row r="75" spans="1:15" x14ac:dyDescent="0.2">
      <c r="A75" t="s">
        <v>11</v>
      </c>
      <c r="B75">
        <v>6</v>
      </c>
      <c r="C75" t="s">
        <v>15</v>
      </c>
      <c r="D75">
        <v>1</v>
      </c>
      <c r="E75">
        <v>0.35559999999999997</v>
      </c>
      <c r="F75">
        <v>41</v>
      </c>
      <c r="G75">
        <v>0.84</v>
      </c>
      <c r="L75">
        <v>7.0000000000000007E-2</v>
      </c>
      <c r="O75">
        <v>5</v>
      </c>
    </row>
    <row r="76" spans="1:15" x14ac:dyDescent="0.2">
      <c r="A76" t="s">
        <v>11</v>
      </c>
      <c r="B76">
        <v>6</v>
      </c>
      <c r="C76" t="s">
        <v>15</v>
      </c>
      <c r="D76">
        <v>2</v>
      </c>
      <c r="E76">
        <v>0.35559999999999997</v>
      </c>
      <c r="F76">
        <v>44</v>
      </c>
      <c r="G76">
        <v>1.93</v>
      </c>
      <c r="L76">
        <v>7.0000000000000007E-2</v>
      </c>
      <c r="O76">
        <v>5</v>
      </c>
    </row>
    <row r="77" spans="1:15" x14ac:dyDescent="0.2">
      <c r="A77" t="s">
        <v>11</v>
      </c>
      <c r="B77">
        <v>6</v>
      </c>
      <c r="C77" t="s">
        <v>15</v>
      </c>
      <c r="D77">
        <v>3</v>
      </c>
      <c r="E77">
        <v>0.35559999999999997</v>
      </c>
      <c r="F77">
        <v>38</v>
      </c>
      <c r="G77">
        <v>0.98</v>
      </c>
      <c r="L77">
        <v>7.0000000000000007E-2</v>
      </c>
      <c r="O77">
        <v>5</v>
      </c>
    </row>
    <row r="78" spans="1:15" x14ac:dyDescent="0.2">
      <c r="A78" t="s">
        <v>11</v>
      </c>
      <c r="B78">
        <v>6</v>
      </c>
      <c r="C78" t="s">
        <v>15</v>
      </c>
      <c r="D78">
        <v>4</v>
      </c>
      <c r="E78">
        <v>0.33019999999999999</v>
      </c>
      <c r="F78">
        <v>40.200000000000003</v>
      </c>
      <c r="G78">
        <v>0.46</v>
      </c>
      <c r="L78">
        <v>7.0000000000000007E-2</v>
      </c>
      <c r="O78">
        <v>5</v>
      </c>
    </row>
    <row r="79" spans="1:15" x14ac:dyDescent="0.2">
      <c r="A79" t="s">
        <v>11</v>
      </c>
      <c r="B79">
        <v>6</v>
      </c>
      <c r="C79" t="s">
        <v>15</v>
      </c>
      <c r="D79">
        <v>5</v>
      </c>
      <c r="E79">
        <v>0.38099999999999995</v>
      </c>
      <c r="F79">
        <v>45.1</v>
      </c>
      <c r="G79">
        <v>1.48</v>
      </c>
      <c r="L79">
        <v>7.0000000000000007E-2</v>
      </c>
      <c r="O79">
        <v>5</v>
      </c>
    </row>
    <row r="80" spans="1:15" x14ac:dyDescent="0.2">
      <c r="A80" t="s">
        <v>11</v>
      </c>
      <c r="B80">
        <v>6</v>
      </c>
      <c r="C80" t="s">
        <v>15</v>
      </c>
      <c r="D80">
        <v>6</v>
      </c>
      <c r="E80">
        <v>0.38099999999999995</v>
      </c>
      <c r="F80">
        <v>37.299999999999997</v>
      </c>
      <c r="G80">
        <v>0.72</v>
      </c>
      <c r="L80">
        <v>7.0000000000000007E-2</v>
      </c>
      <c r="O80">
        <v>5</v>
      </c>
    </row>
    <row r="81" spans="1:15" x14ac:dyDescent="0.2">
      <c r="A81" t="s">
        <v>11</v>
      </c>
      <c r="B81">
        <v>6</v>
      </c>
      <c r="C81" t="s">
        <v>15</v>
      </c>
      <c r="D81">
        <v>7</v>
      </c>
      <c r="E81">
        <v>0.40639999999999998</v>
      </c>
      <c r="F81">
        <v>42.4</v>
      </c>
      <c r="G81">
        <v>0.72</v>
      </c>
      <c r="L81">
        <v>7.0000000000000007E-2</v>
      </c>
      <c r="O81">
        <v>5</v>
      </c>
    </row>
    <row r="82" spans="1:15" x14ac:dyDescent="0.2">
      <c r="A82" t="s">
        <v>11</v>
      </c>
      <c r="B82">
        <v>6</v>
      </c>
      <c r="C82" t="s">
        <v>15</v>
      </c>
      <c r="D82">
        <v>8</v>
      </c>
      <c r="E82">
        <v>0.40639999999999998</v>
      </c>
      <c r="F82">
        <v>43.2</v>
      </c>
      <c r="G82">
        <v>1.22</v>
      </c>
      <c r="L82">
        <v>7.0000000000000007E-2</v>
      </c>
      <c r="O82">
        <v>5</v>
      </c>
    </row>
    <row r="83" spans="1:15" x14ac:dyDescent="0.2">
      <c r="A83" t="s">
        <v>11</v>
      </c>
      <c r="B83">
        <v>6</v>
      </c>
      <c r="C83" t="s">
        <v>15</v>
      </c>
      <c r="D83">
        <v>9</v>
      </c>
      <c r="E83">
        <v>0.38099999999999995</v>
      </c>
      <c r="F83">
        <v>39.1</v>
      </c>
      <c r="G83">
        <v>0.78</v>
      </c>
      <c r="L83">
        <v>7.0000000000000007E-2</v>
      </c>
      <c r="O83">
        <v>5</v>
      </c>
    </row>
    <row r="84" spans="1:15" x14ac:dyDescent="0.2">
      <c r="A84" t="s">
        <v>11</v>
      </c>
      <c r="B84">
        <v>6</v>
      </c>
      <c r="C84" t="s">
        <v>16</v>
      </c>
      <c r="D84">
        <v>1</v>
      </c>
      <c r="E84">
        <v>0.55371999999999999</v>
      </c>
      <c r="F84">
        <v>10</v>
      </c>
      <c r="G84">
        <v>2.97</v>
      </c>
      <c r="L84">
        <v>7.0000000000000007E-2</v>
      </c>
      <c r="O84">
        <v>5</v>
      </c>
    </row>
    <row r="85" spans="1:15" x14ac:dyDescent="0.2">
      <c r="A85" t="s">
        <v>11</v>
      </c>
      <c r="B85">
        <v>6</v>
      </c>
      <c r="C85" t="s">
        <v>16</v>
      </c>
      <c r="D85">
        <v>2</v>
      </c>
      <c r="E85">
        <v>0.53339999999999999</v>
      </c>
      <c r="F85">
        <v>7</v>
      </c>
      <c r="G85">
        <v>3.08</v>
      </c>
      <c r="L85">
        <v>7.0000000000000007E-2</v>
      </c>
      <c r="O85">
        <v>5</v>
      </c>
    </row>
    <row r="86" spans="1:15" x14ac:dyDescent="0.2">
      <c r="A86" t="s">
        <v>11</v>
      </c>
      <c r="B86">
        <v>6</v>
      </c>
      <c r="C86" t="s">
        <v>16</v>
      </c>
      <c r="D86">
        <v>3</v>
      </c>
      <c r="E86">
        <v>0.50800000000000001</v>
      </c>
      <c r="F86">
        <v>9.4</v>
      </c>
      <c r="G86">
        <v>2.82</v>
      </c>
      <c r="L86">
        <v>7.0000000000000007E-2</v>
      </c>
      <c r="O86">
        <v>5</v>
      </c>
    </row>
    <row r="87" spans="1:15" x14ac:dyDescent="0.2">
      <c r="A87" t="s">
        <v>11</v>
      </c>
      <c r="B87">
        <v>6</v>
      </c>
      <c r="C87" t="s">
        <v>16</v>
      </c>
      <c r="D87">
        <v>4</v>
      </c>
      <c r="E87">
        <v>0.71119999999999994</v>
      </c>
      <c r="F87">
        <v>6.5</v>
      </c>
      <c r="G87">
        <v>2.74</v>
      </c>
      <c r="L87">
        <v>7.0000000000000007E-2</v>
      </c>
      <c r="O87">
        <v>5</v>
      </c>
    </row>
    <row r="88" spans="1:15" x14ac:dyDescent="0.2">
      <c r="A88" t="s">
        <v>11</v>
      </c>
      <c r="B88">
        <v>6</v>
      </c>
      <c r="C88" t="s">
        <v>16</v>
      </c>
      <c r="D88">
        <v>5</v>
      </c>
      <c r="E88">
        <v>0.33019999999999999</v>
      </c>
      <c r="F88">
        <v>10.8</v>
      </c>
      <c r="G88">
        <v>2.34</v>
      </c>
      <c r="L88">
        <v>7.0000000000000007E-2</v>
      </c>
      <c r="O88">
        <v>5</v>
      </c>
    </row>
    <row r="89" spans="1:15" x14ac:dyDescent="0.2">
      <c r="A89" t="s">
        <v>11</v>
      </c>
      <c r="B89">
        <v>6</v>
      </c>
      <c r="C89" t="s">
        <v>16</v>
      </c>
      <c r="D89">
        <v>6</v>
      </c>
      <c r="E89">
        <v>0.30480000000000002</v>
      </c>
      <c r="F89">
        <v>7.6</v>
      </c>
      <c r="G89">
        <v>1.69</v>
      </c>
      <c r="L89">
        <v>7.0000000000000007E-2</v>
      </c>
      <c r="O89">
        <v>5</v>
      </c>
    </row>
    <row r="90" spans="1:15" x14ac:dyDescent="0.2">
      <c r="A90" t="s">
        <v>11</v>
      </c>
      <c r="B90">
        <v>6</v>
      </c>
      <c r="C90" t="s">
        <v>16</v>
      </c>
      <c r="D90">
        <v>7</v>
      </c>
      <c r="E90">
        <v>0.55879999999999996</v>
      </c>
      <c r="F90">
        <v>9.6999999999999993</v>
      </c>
      <c r="G90">
        <v>3.89</v>
      </c>
      <c r="L90">
        <v>7.0000000000000007E-2</v>
      </c>
      <c r="O90">
        <v>5</v>
      </c>
    </row>
    <row r="91" spans="1:15" x14ac:dyDescent="0.2">
      <c r="A91" t="s">
        <v>11</v>
      </c>
      <c r="B91">
        <v>6</v>
      </c>
      <c r="C91" t="s">
        <v>16</v>
      </c>
      <c r="D91">
        <v>8</v>
      </c>
      <c r="E91">
        <v>0.30480000000000002</v>
      </c>
      <c r="F91">
        <v>6.8</v>
      </c>
      <c r="G91">
        <v>3.04</v>
      </c>
      <c r="L91">
        <v>7.0000000000000007E-2</v>
      </c>
      <c r="O91">
        <v>5</v>
      </c>
    </row>
    <row r="92" spans="1:15" x14ac:dyDescent="0.2">
      <c r="A92" t="s">
        <v>11</v>
      </c>
      <c r="B92">
        <v>6</v>
      </c>
      <c r="C92" t="s">
        <v>16</v>
      </c>
      <c r="D92">
        <v>9</v>
      </c>
      <c r="E92">
        <v>0.45719999999999994</v>
      </c>
      <c r="F92">
        <v>10.3</v>
      </c>
      <c r="G92">
        <v>1.76</v>
      </c>
      <c r="L92">
        <v>7.0000000000000007E-2</v>
      </c>
      <c r="O92">
        <v>5</v>
      </c>
    </row>
    <row r="93" spans="1:15" x14ac:dyDescent="0.2">
      <c r="A93" t="s">
        <v>11</v>
      </c>
      <c r="B93">
        <v>6</v>
      </c>
      <c r="C93" t="s">
        <v>17</v>
      </c>
      <c r="D93">
        <v>1</v>
      </c>
      <c r="E93" s="3">
        <v>1.2410000000000001</v>
      </c>
      <c r="F93">
        <v>54.5</v>
      </c>
      <c r="G93">
        <v>0.31</v>
      </c>
      <c r="L93">
        <v>7.0000000000000007E-2</v>
      </c>
      <c r="O93">
        <v>5</v>
      </c>
    </row>
    <row r="94" spans="1:15" x14ac:dyDescent="0.2">
      <c r="A94" t="s">
        <v>11</v>
      </c>
      <c r="B94">
        <v>6</v>
      </c>
      <c r="C94" t="s">
        <v>17</v>
      </c>
      <c r="D94">
        <v>2</v>
      </c>
      <c r="E94" s="3">
        <v>1.0589999999999999</v>
      </c>
      <c r="F94">
        <v>33</v>
      </c>
      <c r="G94">
        <v>0.21</v>
      </c>
      <c r="L94">
        <v>7.0000000000000007E-2</v>
      </c>
      <c r="O94">
        <v>5</v>
      </c>
    </row>
    <row r="95" spans="1:15" x14ac:dyDescent="0.2">
      <c r="A95" t="s">
        <v>11</v>
      </c>
      <c r="B95">
        <v>6</v>
      </c>
      <c r="C95" t="s">
        <v>17</v>
      </c>
      <c r="D95">
        <v>3</v>
      </c>
      <c r="E95" s="3">
        <v>1.165</v>
      </c>
      <c r="F95">
        <v>52.1</v>
      </c>
      <c r="G95">
        <v>0.23</v>
      </c>
      <c r="L95">
        <v>7.0000000000000007E-2</v>
      </c>
      <c r="O95">
        <v>5</v>
      </c>
    </row>
    <row r="96" spans="1:15" x14ac:dyDescent="0.2">
      <c r="A96" t="s">
        <v>11</v>
      </c>
      <c r="B96">
        <v>6</v>
      </c>
      <c r="C96" t="s">
        <v>17</v>
      </c>
      <c r="D96">
        <v>4</v>
      </c>
      <c r="E96" s="3">
        <v>1.0269999999999999</v>
      </c>
      <c r="F96">
        <v>31.4</v>
      </c>
      <c r="G96">
        <v>0.16</v>
      </c>
      <c r="L96">
        <v>7.0000000000000007E-2</v>
      </c>
      <c r="O96">
        <v>5</v>
      </c>
    </row>
    <row r="97" spans="1:15" x14ac:dyDescent="0.2">
      <c r="A97" t="s">
        <v>11</v>
      </c>
      <c r="B97">
        <v>6</v>
      </c>
      <c r="C97" t="s">
        <v>17</v>
      </c>
      <c r="D97">
        <v>5</v>
      </c>
      <c r="E97" s="3">
        <v>0.97099999999999997</v>
      </c>
      <c r="F97">
        <v>57.2</v>
      </c>
      <c r="G97">
        <v>0.21</v>
      </c>
      <c r="L97">
        <v>7.0000000000000007E-2</v>
      </c>
      <c r="O97">
        <v>5</v>
      </c>
    </row>
    <row r="98" spans="1:15" x14ac:dyDescent="0.2">
      <c r="A98" t="s">
        <v>11</v>
      </c>
      <c r="B98">
        <v>6</v>
      </c>
      <c r="C98" t="s">
        <v>17</v>
      </c>
      <c r="D98">
        <v>6</v>
      </c>
      <c r="E98" s="3">
        <v>1.099</v>
      </c>
      <c r="F98">
        <v>35.6</v>
      </c>
      <c r="G98">
        <v>0.17</v>
      </c>
      <c r="L98">
        <v>7.0000000000000007E-2</v>
      </c>
      <c r="O98">
        <v>5</v>
      </c>
    </row>
    <row r="99" spans="1:15" x14ac:dyDescent="0.2">
      <c r="A99" t="s">
        <v>11</v>
      </c>
      <c r="B99">
        <v>6</v>
      </c>
      <c r="C99" t="s">
        <v>17</v>
      </c>
      <c r="D99">
        <v>7</v>
      </c>
      <c r="E99" s="3">
        <v>1.296</v>
      </c>
      <c r="F99">
        <v>53.3</v>
      </c>
      <c r="G99">
        <v>0.23</v>
      </c>
      <c r="L99">
        <v>7.0000000000000007E-2</v>
      </c>
      <c r="O99">
        <v>5</v>
      </c>
    </row>
    <row r="100" spans="1:15" x14ac:dyDescent="0.2">
      <c r="A100" t="s">
        <v>11</v>
      </c>
      <c r="B100">
        <v>6</v>
      </c>
      <c r="C100" t="s">
        <v>17</v>
      </c>
      <c r="D100">
        <v>8</v>
      </c>
      <c r="E100" s="3">
        <v>1.18</v>
      </c>
      <c r="F100">
        <v>32.1</v>
      </c>
      <c r="G100">
        <v>0.21</v>
      </c>
      <c r="L100">
        <v>7.0000000000000007E-2</v>
      </c>
      <c r="O100">
        <v>5</v>
      </c>
    </row>
    <row r="101" spans="1:15" x14ac:dyDescent="0.2">
      <c r="A101" t="s">
        <v>11</v>
      </c>
      <c r="B101">
        <v>6</v>
      </c>
      <c r="C101" t="s">
        <v>17</v>
      </c>
      <c r="D101">
        <v>9</v>
      </c>
      <c r="E101" s="3">
        <v>1.2649999999999999</v>
      </c>
      <c r="F101">
        <v>55.8</v>
      </c>
      <c r="G101">
        <v>0.26</v>
      </c>
      <c r="L101">
        <v>7.0000000000000007E-2</v>
      </c>
      <c r="O101">
        <v>5</v>
      </c>
    </row>
    <row r="102" spans="1:15" x14ac:dyDescent="0.2">
      <c r="A102" t="s">
        <v>11</v>
      </c>
      <c r="B102">
        <v>6</v>
      </c>
      <c r="C102" t="s">
        <v>18</v>
      </c>
      <c r="D102">
        <v>1</v>
      </c>
      <c r="E102">
        <v>0.54609999999999992</v>
      </c>
      <c r="F102">
        <v>12</v>
      </c>
      <c r="G102">
        <v>0.76</v>
      </c>
      <c r="L102">
        <v>7.0000000000000007E-2</v>
      </c>
      <c r="O102">
        <v>5</v>
      </c>
    </row>
    <row r="103" spans="1:15" x14ac:dyDescent="0.2">
      <c r="A103" t="s">
        <v>11</v>
      </c>
      <c r="B103">
        <v>6</v>
      </c>
      <c r="C103" t="s">
        <v>18</v>
      </c>
      <c r="D103">
        <v>2</v>
      </c>
      <c r="E103">
        <v>0.50800000000000001</v>
      </c>
      <c r="F103">
        <v>9</v>
      </c>
      <c r="G103">
        <v>0.28000000000000003</v>
      </c>
      <c r="L103">
        <v>7.0000000000000007E-2</v>
      </c>
      <c r="O103">
        <v>5</v>
      </c>
    </row>
    <row r="104" spans="1:15" x14ac:dyDescent="0.2">
      <c r="A104" t="s">
        <v>11</v>
      </c>
      <c r="B104">
        <v>6</v>
      </c>
      <c r="C104" t="s">
        <v>18</v>
      </c>
      <c r="D104">
        <v>3</v>
      </c>
      <c r="E104">
        <v>0.43180000000000002</v>
      </c>
      <c r="F104">
        <v>13</v>
      </c>
      <c r="G104">
        <v>0.3</v>
      </c>
      <c r="L104">
        <v>7.0000000000000007E-2</v>
      </c>
      <c r="O104">
        <v>5</v>
      </c>
    </row>
    <row r="105" spans="1:15" x14ac:dyDescent="0.2">
      <c r="A105" t="s">
        <v>11</v>
      </c>
      <c r="B105">
        <v>6</v>
      </c>
      <c r="C105" t="s">
        <v>18</v>
      </c>
      <c r="D105">
        <v>4</v>
      </c>
      <c r="E105">
        <v>0.88900000000000001</v>
      </c>
      <c r="F105">
        <v>11.4</v>
      </c>
      <c r="G105">
        <v>0.61</v>
      </c>
      <c r="L105">
        <v>7.0000000000000007E-2</v>
      </c>
      <c r="O105">
        <v>5</v>
      </c>
    </row>
    <row r="106" spans="1:15" x14ac:dyDescent="0.2">
      <c r="A106" t="s">
        <v>11</v>
      </c>
      <c r="B106">
        <v>6</v>
      </c>
      <c r="C106" t="s">
        <v>18</v>
      </c>
      <c r="D106">
        <v>5</v>
      </c>
      <c r="E106">
        <v>0.82042000000000004</v>
      </c>
      <c r="F106">
        <v>8.5</v>
      </c>
      <c r="G106">
        <v>0.53</v>
      </c>
      <c r="L106">
        <v>7.0000000000000007E-2</v>
      </c>
      <c r="O106">
        <v>5</v>
      </c>
    </row>
    <row r="107" spans="1:15" x14ac:dyDescent="0.2">
      <c r="A107" t="s">
        <v>11</v>
      </c>
      <c r="B107">
        <v>6</v>
      </c>
      <c r="C107" t="s">
        <v>18</v>
      </c>
      <c r="D107">
        <v>6</v>
      </c>
      <c r="E107">
        <v>0.91439999999999988</v>
      </c>
      <c r="F107">
        <v>13.8</v>
      </c>
      <c r="G107">
        <v>0.4</v>
      </c>
      <c r="L107">
        <v>7.0000000000000007E-2</v>
      </c>
      <c r="O107">
        <v>5</v>
      </c>
    </row>
    <row r="108" spans="1:15" x14ac:dyDescent="0.2">
      <c r="A108" t="s">
        <v>11</v>
      </c>
      <c r="B108">
        <v>6</v>
      </c>
      <c r="C108" t="s">
        <v>18</v>
      </c>
      <c r="D108">
        <v>7</v>
      </c>
      <c r="E108">
        <v>0.81279999999999997</v>
      </c>
      <c r="F108">
        <v>12.6</v>
      </c>
      <c r="G108">
        <v>0.37</v>
      </c>
      <c r="L108">
        <v>7.0000000000000007E-2</v>
      </c>
      <c r="O108">
        <v>5</v>
      </c>
    </row>
    <row r="109" spans="1:15" x14ac:dyDescent="0.2">
      <c r="A109" t="s">
        <v>11</v>
      </c>
      <c r="B109">
        <v>6</v>
      </c>
      <c r="C109" t="s">
        <v>18</v>
      </c>
      <c r="D109">
        <v>8</v>
      </c>
      <c r="E109">
        <v>0.96519999999999995</v>
      </c>
      <c r="F109">
        <v>9.4</v>
      </c>
      <c r="G109">
        <v>0.22</v>
      </c>
      <c r="L109">
        <v>7.0000000000000007E-2</v>
      </c>
      <c r="O109">
        <v>5</v>
      </c>
    </row>
    <row r="110" spans="1:15" x14ac:dyDescent="0.2">
      <c r="A110" t="s">
        <v>11</v>
      </c>
      <c r="B110">
        <v>6</v>
      </c>
      <c r="C110" t="s">
        <v>18</v>
      </c>
      <c r="D110">
        <v>9</v>
      </c>
      <c r="E110">
        <v>0.80264000000000002</v>
      </c>
      <c r="F110">
        <v>12.2</v>
      </c>
      <c r="G110">
        <v>0.14000000000000001</v>
      </c>
      <c r="L110">
        <v>7.0000000000000007E-2</v>
      </c>
      <c r="O110">
        <v>5</v>
      </c>
    </row>
    <row r="111" spans="1:15" x14ac:dyDescent="0.2">
      <c r="A111" t="s">
        <v>11</v>
      </c>
      <c r="B111">
        <v>6</v>
      </c>
      <c r="C111" t="s">
        <v>19</v>
      </c>
      <c r="D111">
        <v>1</v>
      </c>
      <c r="E111" s="2">
        <v>0.65900000000000003</v>
      </c>
      <c r="F111">
        <v>15</v>
      </c>
      <c r="G111">
        <v>1.55E-2</v>
      </c>
      <c r="L111">
        <v>7.0000000000000007E-2</v>
      </c>
      <c r="O111">
        <v>1</v>
      </c>
    </row>
    <row r="112" spans="1:15" x14ac:dyDescent="0.2">
      <c r="A112" t="s">
        <v>11</v>
      </c>
      <c r="B112">
        <v>6</v>
      </c>
      <c r="C112" t="s">
        <v>19</v>
      </c>
      <c r="D112">
        <v>2</v>
      </c>
      <c r="E112" s="2">
        <v>0.71899999999999997</v>
      </c>
      <c r="F112">
        <v>14.1</v>
      </c>
      <c r="G112">
        <v>1.6299999999999999E-2</v>
      </c>
      <c r="L112">
        <v>7.0000000000000007E-2</v>
      </c>
      <c r="O112">
        <v>1</v>
      </c>
    </row>
    <row r="113" spans="1:15" x14ac:dyDescent="0.2">
      <c r="A113" t="s">
        <v>11</v>
      </c>
      <c r="B113">
        <v>6</v>
      </c>
      <c r="C113" t="s">
        <v>19</v>
      </c>
      <c r="D113">
        <v>3</v>
      </c>
      <c r="E113" s="2">
        <v>0.71099999999999997</v>
      </c>
      <c r="F113">
        <v>16.2</v>
      </c>
      <c r="G113">
        <v>2.46E-2</v>
      </c>
      <c r="L113">
        <v>7.0000000000000007E-2</v>
      </c>
      <c r="O113">
        <v>1</v>
      </c>
    </row>
    <row r="114" spans="1:15" x14ac:dyDescent="0.2">
      <c r="A114" t="s">
        <v>11</v>
      </c>
      <c r="B114">
        <v>6</v>
      </c>
      <c r="C114" t="s">
        <v>19</v>
      </c>
      <c r="D114">
        <v>4</v>
      </c>
      <c r="E114" s="2">
        <v>0.48</v>
      </c>
      <c r="F114">
        <v>14.6</v>
      </c>
      <c r="G114">
        <v>0.01</v>
      </c>
      <c r="L114">
        <v>7.0000000000000007E-2</v>
      </c>
      <c r="O114">
        <v>1</v>
      </c>
    </row>
    <row r="115" spans="1:15" x14ac:dyDescent="0.2">
      <c r="A115" t="s">
        <v>11</v>
      </c>
      <c r="B115">
        <v>6</v>
      </c>
      <c r="C115" t="s">
        <v>19</v>
      </c>
      <c r="D115">
        <v>5</v>
      </c>
      <c r="E115" s="2">
        <v>0.57899999999999996</v>
      </c>
      <c r="F115">
        <v>15.8</v>
      </c>
      <c r="G115">
        <v>1.24E-2</v>
      </c>
      <c r="L115">
        <v>7.0000000000000007E-2</v>
      </c>
      <c r="O115">
        <v>1</v>
      </c>
    </row>
    <row r="116" spans="1:15" x14ac:dyDescent="0.2">
      <c r="A116" t="s">
        <v>11</v>
      </c>
      <c r="B116">
        <v>6</v>
      </c>
      <c r="C116" t="s">
        <v>19</v>
      </c>
      <c r="D116">
        <v>6</v>
      </c>
      <c r="E116" s="2">
        <v>0.59199999999999997</v>
      </c>
      <c r="F116">
        <v>13.7</v>
      </c>
      <c r="G116">
        <v>1.41E-2</v>
      </c>
      <c r="L116">
        <v>7.0000000000000007E-2</v>
      </c>
      <c r="O116">
        <v>1</v>
      </c>
    </row>
    <row r="117" spans="1:15" x14ac:dyDescent="0.2">
      <c r="A117" t="s">
        <v>11</v>
      </c>
      <c r="B117">
        <v>6</v>
      </c>
      <c r="C117" t="s">
        <v>19</v>
      </c>
      <c r="D117">
        <v>7</v>
      </c>
      <c r="E117" s="2">
        <v>0.79300000000000004</v>
      </c>
      <c r="F117">
        <v>15.4</v>
      </c>
      <c r="G117">
        <v>1.5299999999999999E-2</v>
      </c>
      <c r="L117">
        <v>7.0000000000000007E-2</v>
      </c>
      <c r="O117">
        <v>1</v>
      </c>
    </row>
    <row r="118" spans="1:15" x14ac:dyDescent="0.2">
      <c r="A118" t="s">
        <v>11</v>
      </c>
      <c r="B118">
        <v>6</v>
      </c>
      <c r="C118" t="s">
        <v>19</v>
      </c>
      <c r="D118">
        <v>8</v>
      </c>
      <c r="E118" s="2">
        <v>0.67600000000000005</v>
      </c>
      <c r="F118">
        <v>14.3</v>
      </c>
      <c r="G118">
        <v>1.5800000000000002E-2</v>
      </c>
      <c r="L118">
        <v>7.0000000000000007E-2</v>
      </c>
      <c r="O118">
        <v>1</v>
      </c>
    </row>
    <row r="119" spans="1:15" x14ac:dyDescent="0.2">
      <c r="A119" t="s">
        <v>11</v>
      </c>
      <c r="B119">
        <v>6</v>
      </c>
      <c r="C119" t="s">
        <v>19</v>
      </c>
      <c r="D119">
        <v>9</v>
      </c>
      <c r="L119">
        <v>7.0000000000000007E-2</v>
      </c>
      <c r="O119">
        <v>1</v>
      </c>
    </row>
    <row r="120" spans="1:15" x14ac:dyDescent="0.2">
      <c r="A120" t="s">
        <v>11</v>
      </c>
      <c r="B120">
        <v>6</v>
      </c>
      <c r="C120" t="s">
        <v>20</v>
      </c>
      <c r="D120">
        <v>1</v>
      </c>
      <c r="E120" s="3">
        <v>0.47</v>
      </c>
      <c r="F120">
        <v>65</v>
      </c>
      <c r="G120">
        <v>2.15</v>
      </c>
      <c r="L120">
        <v>7.0000000000000007E-2</v>
      </c>
    </row>
    <row r="121" spans="1:15" x14ac:dyDescent="0.2">
      <c r="A121" t="s">
        <v>11</v>
      </c>
      <c r="B121">
        <v>6</v>
      </c>
      <c r="C121" t="s">
        <v>20</v>
      </c>
      <c r="D121">
        <v>2</v>
      </c>
      <c r="E121" s="3">
        <v>0.49299999999999999</v>
      </c>
      <c r="F121">
        <v>61.8</v>
      </c>
      <c r="G121">
        <v>2.33</v>
      </c>
      <c r="L121">
        <v>7.0000000000000007E-2</v>
      </c>
      <c r="O121">
        <v>1</v>
      </c>
    </row>
    <row r="122" spans="1:15" x14ac:dyDescent="0.2">
      <c r="A122" t="s">
        <v>11</v>
      </c>
      <c r="B122">
        <v>6</v>
      </c>
      <c r="C122" t="s">
        <v>20</v>
      </c>
      <c r="D122">
        <v>3</v>
      </c>
      <c r="E122" s="3">
        <v>0.48399999999999999</v>
      </c>
      <c r="F122">
        <v>68.400000000000006</v>
      </c>
      <c r="G122">
        <v>2.1800000000000002</v>
      </c>
      <c r="L122">
        <v>7.0000000000000007E-2</v>
      </c>
      <c r="O122">
        <v>1</v>
      </c>
    </row>
    <row r="123" spans="1:15" x14ac:dyDescent="0.2">
      <c r="A123" t="s">
        <v>11</v>
      </c>
      <c r="B123">
        <v>6</v>
      </c>
      <c r="C123" t="s">
        <v>20</v>
      </c>
      <c r="D123">
        <v>4</v>
      </c>
      <c r="E123" s="3">
        <v>0.44400000000000001</v>
      </c>
      <c r="F123">
        <v>63.7</v>
      </c>
      <c r="G123">
        <v>0.54</v>
      </c>
      <c r="L123">
        <v>7.0000000000000007E-2</v>
      </c>
      <c r="O123">
        <v>1</v>
      </c>
    </row>
    <row r="124" spans="1:15" x14ac:dyDescent="0.2">
      <c r="A124" t="s">
        <v>11</v>
      </c>
      <c r="B124">
        <v>6</v>
      </c>
      <c r="C124" t="s">
        <v>20</v>
      </c>
      <c r="D124">
        <v>5</v>
      </c>
      <c r="E124" s="3">
        <v>0.56699999999999995</v>
      </c>
      <c r="F124">
        <v>71.099999999999994</v>
      </c>
      <c r="G124">
        <v>2.37</v>
      </c>
      <c r="L124">
        <v>7.0000000000000007E-2</v>
      </c>
      <c r="O124">
        <v>1</v>
      </c>
    </row>
    <row r="125" spans="1:15" x14ac:dyDescent="0.2">
      <c r="A125" t="s">
        <v>11</v>
      </c>
      <c r="B125">
        <v>6</v>
      </c>
      <c r="C125" t="s">
        <v>20</v>
      </c>
      <c r="D125">
        <v>6</v>
      </c>
      <c r="E125" s="3">
        <v>0.439</v>
      </c>
      <c r="F125">
        <v>59.6</v>
      </c>
      <c r="G125">
        <v>1.81</v>
      </c>
      <c r="L125">
        <v>7.0000000000000007E-2</v>
      </c>
      <c r="O125">
        <v>1</v>
      </c>
    </row>
    <row r="126" spans="1:15" x14ac:dyDescent="0.2">
      <c r="A126" t="s">
        <v>11</v>
      </c>
      <c r="B126">
        <v>6</v>
      </c>
      <c r="C126" t="s">
        <v>20</v>
      </c>
      <c r="D126">
        <v>7</v>
      </c>
      <c r="E126" s="3">
        <v>0.40100000000000002</v>
      </c>
      <c r="F126">
        <v>66.7</v>
      </c>
      <c r="G126">
        <v>1.1399999999999999</v>
      </c>
      <c r="L126">
        <v>7.0000000000000007E-2</v>
      </c>
      <c r="O126">
        <v>1</v>
      </c>
    </row>
    <row r="127" spans="1:15" x14ac:dyDescent="0.2">
      <c r="A127" t="s">
        <v>11</v>
      </c>
      <c r="B127">
        <v>6</v>
      </c>
      <c r="C127" t="s">
        <v>20</v>
      </c>
      <c r="D127">
        <v>8</v>
      </c>
      <c r="E127" s="3">
        <v>0.33400000000000002</v>
      </c>
      <c r="F127">
        <v>62.5</v>
      </c>
      <c r="G127">
        <v>0.71</v>
      </c>
      <c r="L127">
        <v>7.0000000000000007E-2</v>
      </c>
      <c r="O127">
        <v>1</v>
      </c>
    </row>
    <row r="128" spans="1:15" x14ac:dyDescent="0.2">
      <c r="A128" t="s">
        <v>11</v>
      </c>
      <c r="B128">
        <v>6</v>
      </c>
      <c r="C128" t="s">
        <v>20</v>
      </c>
      <c r="D128">
        <v>9</v>
      </c>
      <c r="E128" s="3">
        <v>0.33500000000000002</v>
      </c>
      <c r="F128">
        <v>69.3</v>
      </c>
      <c r="G128">
        <v>0.38</v>
      </c>
      <c r="L128">
        <v>7.0000000000000007E-2</v>
      </c>
      <c r="O128">
        <v>1</v>
      </c>
    </row>
    <row r="129" spans="1:15" x14ac:dyDescent="0.2">
      <c r="A129" t="s">
        <v>11</v>
      </c>
      <c r="B129">
        <v>6</v>
      </c>
      <c r="C129" t="s">
        <v>33</v>
      </c>
      <c r="D129">
        <v>1</v>
      </c>
      <c r="E129">
        <v>0.35559999999999997</v>
      </c>
      <c r="F129">
        <v>19</v>
      </c>
      <c r="G129">
        <v>0.12</v>
      </c>
      <c r="L129">
        <v>7.0000000000000007E-2</v>
      </c>
      <c r="O129">
        <v>1</v>
      </c>
    </row>
    <row r="130" spans="1:15" x14ac:dyDescent="0.2">
      <c r="A130" t="s">
        <v>11</v>
      </c>
      <c r="B130">
        <v>6</v>
      </c>
      <c r="C130" t="s">
        <v>33</v>
      </c>
      <c r="D130">
        <v>2</v>
      </c>
      <c r="E130">
        <v>0.33019999999999999</v>
      </c>
      <c r="F130">
        <v>17.8</v>
      </c>
      <c r="G130">
        <v>0.05</v>
      </c>
      <c r="L130">
        <v>7.0000000000000007E-2</v>
      </c>
      <c r="O130">
        <v>1</v>
      </c>
    </row>
    <row r="131" spans="1:15" x14ac:dyDescent="0.2">
      <c r="A131" t="s">
        <v>11</v>
      </c>
      <c r="B131">
        <v>6</v>
      </c>
      <c r="C131" t="s">
        <v>33</v>
      </c>
      <c r="D131">
        <v>3</v>
      </c>
      <c r="E131">
        <v>0.20319999999999999</v>
      </c>
      <c r="F131">
        <v>20.399999999999999</v>
      </c>
      <c r="G131">
        <v>0.11</v>
      </c>
      <c r="L131">
        <v>7.0000000000000007E-2</v>
      </c>
      <c r="O131">
        <v>1</v>
      </c>
    </row>
    <row r="132" spans="1:15" x14ac:dyDescent="0.2">
      <c r="A132" t="s">
        <v>11</v>
      </c>
      <c r="B132">
        <v>6</v>
      </c>
      <c r="C132" t="s">
        <v>33</v>
      </c>
      <c r="D132">
        <v>4</v>
      </c>
      <c r="E132">
        <v>0.15240000000000001</v>
      </c>
      <c r="F132">
        <v>18.600000000000001</v>
      </c>
      <c r="G132">
        <v>0.06</v>
      </c>
      <c r="L132">
        <v>7.0000000000000007E-2</v>
      </c>
      <c r="O132">
        <v>1</v>
      </c>
    </row>
    <row r="133" spans="1:15" x14ac:dyDescent="0.2">
      <c r="A133" t="s">
        <v>11</v>
      </c>
      <c r="B133">
        <v>6</v>
      </c>
      <c r="C133" t="s">
        <v>33</v>
      </c>
      <c r="D133">
        <v>5</v>
      </c>
      <c r="E133">
        <v>0.17779999999999999</v>
      </c>
      <c r="F133">
        <v>21.1</v>
      </c>
      <c r="G133">
        <v>0.09</v>
      </c>
      <c r="L133">
        <v>7.0000000000000007E-2</v>
      </c>
      <c r="O133">
        <v>1</v>
      </c>
    </row>
    <row r="134" spans="1:15" x14ac:dyDescent="0.2">
      <c r="A134" t="s">
        <v>11</v>
      </c>
      <c r="B134">
        <v>6</v>
      </c>
      <c r="C134" t="s">
        <v>33</v>
      </c>
      <c r="D134">
        <v>6</v>
      </c>
      <c r="E134">
        <v>0.17779999999999999</v>
      </c>
      <c r="F134">
        <v>16.899999999999999</v>
      </c>
      <c r="G134">
        <v>0.16</v>
      </c>
      <c r="L134">
        <v>7.0000000000000007E-2</v>
      </c>
      <c r="O134">
        <v>1</v>
      </c>
    </row>
    <row r="135" spans="1:15" x14ac:dyDescent="0.2">
      <c r="A135" t="s">
        <v>11</v>
      </c>
      <c r="B135">
        <v>6</v>
      </c>
      <c r="C135" t="s">
        <v>33</v>
      </c>
      <c r="D135">
        <v>7</v>
      </c>
      <c r="E135">
        <v>0.27939999999999998</v>
      </c>
      <c r="F135">
        <v>19.7</v>
      </c>
      <c r="G135">
        <v>0.19</v>
      </c>
      <c r="L135">
        <v>7.0000000000000007E-2</v>
      </c>
      <c r="O135">
        <v>1</v>
      </c>
    </row>
    <row r="136" spans="1:15" x14ac:dyDescent="0.2">
      <c r="A136" t="s">
        <v>11</v>
      </c>
      <c r="B136">
        <v>6</v>
      </c>
      <c r="C136" t="s">
        <v>33</v>
      </c>
      <c r="D136">
        <v>8</v>
      </c>
      <c r="E136">
        <v>0.15240000000000001</v>
      </c>
      <c r="F136">
        <v>18.100000000000001</v>
      </c>
      <c r="G136">
        <v>0.09</v>
      </c>
      <c r="L136">
        <v>7.0000000000000007E-2</v>
      </c>
      <c r="O136">
        <v>1</v>
      </c>
    </row>
    <row r="137" spans="1:15" x14ac:dyDescent="0.2">
      <c r="A137" t="s">
        <v>11</v>
      </c>
      <c r="B137">
        <v>6</v>
      </c>
      <c r="C137" t="s">
        <v>33</v>
      </c>
      <c r="D137">
        <v>9</v>
      </c>
      <c r="E137">
        <v>0.17779999999999999</v>
      </c>
      <c r="F137">
        <v>20</v>
      </c>
      <c r="G137">
        <v>0.08</v>
      </c>
      <c r="L137">
        <v>7.0000000000000007E-2</v>
      </c>
      <c r="O137">
        <v>1</v>
      </c>
    </row>
    <row r="138" spans="1:15" x14ac:dyDescent="0.2">
      <c r="A138" t="s">
        <v>11</v>
      </c>
      <c r="B138">
        <v>7</v>
      </c>
      <c r="C138" t="s">
        <v>13</v>
      </c>
      <c r="D138">
        <v>1</v>
      </c>
      <c r="E138" s="3">
        <v>2.7789999999999999</v>
      </c>
      <c r="F138">
        <v>10</v>
      </c>
      <c r="G138">
        <v>0.37</v>
      </c>
      <c r="L138">
        <v>0.03</v>
      </c>
      <c r="O138">
        <v>10</v>
      </c>
    </row>
    <row r="139" spans="1:15" x14ac:dyDescent="0.2">
      <c r="A139" t="s">
        <v>11</v>
      </c>
      <c r="B139">
        <v>7</v>
      </c>
      <c r="C139" t="s">
        <v>13</v>
      </c>
      <c r="D139">
        <v>2</v>
      </c>
      <c r="E139" s="3">
        <v>2.2850000000000001</v>
      </c>
      <c r="F139">
        <v>16</v>
      </c>
      <c r="G139">
        <v>0.18</v>
      </c>
      <c r="L139">
        <v>0.03</v>
      </c>
      <c r="O139">
        <v>10</v>
      </c>
    </row>
    <row r="140" spans="1:15" x14ac:dyDescent="0.2">
      <c r="A140" t="s">
        <v>11</v>
      </c>
      <c r="B140">
        <v>7</v>
      </c>
      <c r="C140" t="s">
        <v>13</v>
      </c>
      <c r="D140">
        <v>3</v>
      </c>
      <c r="E140" s="3">
        <v>2.528</v>
      </c>
      <c r="F140">
        <v>4</v>
      </c>
      <c r="G140">
        <v>0.23</v>
      </c>
      <c r="L140">
        <v>0.03</v>
      </c>
      <c r="O140">
        <v>10</v>
      </c>
    </row>
    <row r="141" spans="1:15" x14ac:dyDescent="0.2">
      <c r="A141" t="s">
        <v>11</v>
      </c>
      <c r="B141">
        <v>7</v>
      </c>
      <c r="C141" t="s">
        <v>13</v>
      </c>
      <c r="D141">
        <v>4</v>
      </c>
      <c r="E141" s="3">
        <v>2.9460000000000002</v>
      </c>
      <c r="F141">
        <v>6</v>
      </c>
      <c r="G141">
        <v>0.28000000000000003</v>
      </c>
      <c r="L141">
        <v>0.03</v>
      </c>
      <c r="O141">
        <v>10</v>
      </c>
    </row>
    <row r="142" spans="1:15" x14ac:dyDescent="0.2">
      <c r="A142" t="s">
        <v>11</v>
      </c>
      <c r="B142">
        <v>7</v>
      </c>
      <c r="C142" t="s">
        <v>13</v>
      </c>
      <c r="D142">
        <v>5</v>
      </c>
      <c r="E142" s="3">
        <v>2.1749999999999998</v>
      </c>
      <c r="F142">
        <v>17</v>
      </c>
      <c r="G142">
        <v>0.19</v>
      </c>
      <c r="L142">
        <v>0.03</v>
      </c>
      <c r="O142">
        <v>10</v>
      </c>
    </row>
    <row r="143" spans="1:15" x14ac:dyDescent="0.2">
      <c r="A143" t="s">
        <v>11</v>
      </c>
      <c r="B143">
        <v>7</v>
      </c>
      <c r="C143" t="s">
        <v>13</v>
      </c>
      <c r="D143">
        <v>6</v>
      </c>
      <c r="E143" s="3">
        <v>2.6819999999999999</v>
      </c>
      <c r="F143">
        <v>7</v>
      </c>
      <c r="G143">
        <v>0.21</v>
      </c>
      <c r="L143">
        <v>0.03</v>
      </c>
      <c r="O143">
        <v>10</v>
      </c>
    </row>
    <row r="144" spans="1:15" x14ac:dyDescent="0.2">
      <c r="A144" t="s">
        <v>11</v>
      </c>
      <c r="B144">
        <v>7</v>
      </c>
      <c r="C144" t="s">
        <v>13</v>
      </c>
      <c r="D144">
        <v>7</v>
      </c>
      <c r="E144" s="3">
        <v>3.3479999999999999</v>
      </c>
      <c r="F144">
        <v>9.4</v>
      </c>
      <c r="G144">
        <v>0.28999999999999998</v>
      </c>
      <c r="L144">
        <v>0.03</v>
      </c>
      <c r="O144">
        <v>10</v>
      </c>
    </row>
    <row r="145" spans="1:15" x14ac:dyDescent="0.2">
      <c r="A145" t="s">
        <v>11</v>
      </c>
      <c r="B145">
        <v>7</v>
      </c>
      <c r="C145" t="s">
        <v>13</v>
      </c>
      <c r="D145">
        <v>8</v>
      </c>
      <c r="E145" s="3">
        <v>2.2629999999999999</v>
      </c>
      <c r="F145">
        <v>15.1</v>
      </c>
      <c r="G145">
        <v>0.21</v>
      </c>
      <c r="L145">
        <v>0.03</v>
      </c>
      <c r="O145">
        <v>10</v>
      </c>
    </row>
    <row r="146" spans="1:15" x14ac:dyDescent="0.2">
      <c r="A146" t="s">
        <v>11</v>
      </c>
      <c r="B146">
        <v>7</v>
      </c>
      <c r="C146" t="s">
        <v>13</v>
      </c>
      <c r="D146">
        <v>9</v>
      </c>
      <c r="E146" s="3">
        <v>2.6349999999999998</v>
      </c>
      <c r="F146">
        <v>4.5999999999999996</v>
      </c>
      <c r="G146">
        <v>0.19</v>
      </c>
      <c r="L146">
        <v>0.03</v>
      </c>
      <c r="O146">
        <v>10</v>
      </c>
    </row>
    <row r="147" spans="1:15" x14ac:dyDescent="0.2">
      <c r="A147" t="s">
        <v>11</v>
      </c>
      <c r="B147">
        <v>7</v>
      </c>
      <c r="C147" t="s">
        <v>15</v>
      </c>
      <c r="D147">
        <v>1</v>
      </c>
      <c r="E147" s="3">
        <v>0.41599999999999998</v>
      </c>
      <c r="F147">
        <v>39</v>
      </c>
      <c r="G147">
        <v>0.36</v>
      </c>
      <c r="L147">
        <v>0.03</v>
      </c>
      <c r="O147">
        <v>5</v>
      </c>
    </row>
    <row r="148" spans="1:15" x14ac:dyDescent="0.2">
      <c r="A148" t="s">
        <v>11</v>
      </c>
      <c r="B148">
        <v>7</v>
      </c>
      <c r="C148" t="s">
        <v>15</v>
      </c>
      <c r="D148">
        <v>2</v>
      </c>
      <c r="E148" s="3">
        <v>0.46899999999999997</v>
      </c>
      <c r="F148">
        <v>36</v>
      </c>
      <c r="G148">
        <v>0.41</v>
      </c>
      <c r="L148">
        <v>0.03</v>
      </c>
      <c r="O148">
        <v>5</v>
      </c>
    </row>
    <row r="149" spans="1:15" x14ac:dyDescent="0.2">
      <c r="A149" t="s">
        <v>11</v>
      </c>
      <c r="B149">
        <v>7</v>
      </c>
      <c r="C149" t="s">
        <v>15</v>
      </c>
      <c r="D149">
        <v>3</v>
      </c>
      <c r="E149" s="3">
        <v>0.47</v>
      </c>
      <c r="F149">
        <v>37.6</v>
      </c>
      <c r="G149">
        <v>0.79</v>
      </c>
      <c r="L149">
        <v>0.03</v>
      </c>
      <c r="O149">
        <v>5</v>
      </c>
    </row>
    <row r="150" spans="1:15" x14ac:dyDescent="0.2">
      <c r="A150" t="s">
        <v>11</v>
      </c>
      <c r="B150">
        <v>7</v>
      </c>
      <c r="C150" t="s">
        <v>15</v>
      </c>
      <c r="D150">
        <v>4</v>
      </c>
      <c r="E150" s="3">
        <v>0.42799999999999999</v>
      </c>
      <c r="F150">
        <v>34.200000000000003</v>
      </c>
      <c r="G150">
        <v>0.47</v>
      </c>
      <c r="L150">
        <v>0.03</v>
      </c>
      <c r="O150">
        <v>5</v>
      </c>
    </row>
    <row r="151" spans="1:15" x14ac:dyDescent="0.2">
      <c r="A151" t="s">
        <v>11</v>
      </c>
      <c r="B151">
        <v>7</v>
      </c>
      <c r="C151" t="s">
        <v>15</v>
      </c>
      <c r="D151">
        <v>5</v>
      </c>
      <c r="E151" s="3">
        <v>0.41699999999999998</v>
      </c>
      <c r="F151">
        <v>41.1</v>
      </c>
      <c r="G151">
        <v>0.43</v>
      </c>
      <c r="L151">
        <v>0.03</v>
      </c>
      <c r="O151">
        <v>5</v>
      </c>
    </row>
    <row r="152" spans="1:15" x14ac:dyDescent="0.2">
      <c r="A152" t="s">
        <v>11</v>
      </c>
      <c r="B152">
        <v>7</v>
      </c>
      <c r="C152" t="s">
        <v>15</v>
      </c>
      <c r="D152">
        <v>6</v>
      </c>
      <c r="E152" s="3">
        <v>0.49099999999999999</v>
      </c>
      <c r="F152">
        <v>38.299999999999997</v>
      </c>
      <c r="G152">
        <v>0.63</v>
      </c>
      <c r="L152">
        <v>0.03</v>
      </c>
      <c r="O152">
        <v>5</v>
      </c>
    </row>
    <row r="153" spans="1:15" x14ac:dyDescent="0.2">
      <c r="A153" t="s">
        <v>11</v>
      </c>
      <c r="B153">
        <v>7</v>
      </c>
      <c r="C153" t="s">
        <v>15</v>
      </c>
      <c r="D153">
        <v>7</v>
      </c>
      <c r="E153" s="3">
        <v>0.41799999999999998</v>
      </c>
      <c r="F153">
        <v>35.1</v>
      </c>
      <c r="G153">
        <v>0.85</v>
      </c>
      <c r="L153">
        <v>0.03</v>
      </c>
      <c r="O153">
        <v>5</v>
      </c>
    </row>
    <row r="154" spans="1:15" x14ac:dyDescent="0.2">
      <c r="A154" t="s">
        <v>11</v>
      </c>
      <c r="B154">
        <v>7</v>
      </c>
      <c r="C154" t="s">
        <v>15</v>
      </c>
      <c r="D154">
        <v>8</v>
      </c>
      <c r="E154" s="3">
        <v>0.38100000000000001</v>
      </c>
      <c r="F154">
        <v>40</v>
      </c>
      <c r="G154">
        <v>0.24</v>
      </c>
      <c r="L154">
        <v>0.03</v>
      </c>
      <c r="O154">
        <v>5</v>
      </c>
    </row>
    <row r="155" spans="1:15" x14ac:dyDescent="0.2">
      <c r="A155" t="s">
        <v>11</v>
      </c>
      <c r="B155">
        <v>7</v>
      </c>
      <c r="C155" t="s">
        <v>15</v>
      </c>
      <c r="D155">
        <v>9</v>
      </c>
      <c r="E155" s="3">
        <v>0.41599999999999998</v>
      </c>
      <c r="F155">
        <v>36.799999999999997</v>
      </c>
      <c r="G155">
        <v>0.42</v>
      </c>
      <c r="L155">
        <v>0.03</v>
      </c>
      <c r="O155">
        <v>5</v>
      </c>
    </row>
    <row r="156" spans="1:15" x14ac:dyDescent="0.2">
      <c r="A156" t="s">
        <v>11</v>
      </c>
      <c r="B156">
        <v>7</v>
      </c>
      <c r="C156" t="s">
        <v>16</v>
      </c>
      <c r="D156">
        <v>1</v>
      </c>
      <c r="E156" s="3">
        <v>1.27</v>
      </c>
      <c r="F156">
        <v>4</v>
      </c>
      <c r="G156">
        <v>0.92</v>
      </c>
      <c r="L156">
        <v>0.03</v>
      </c>
      <c r="O156">
        <v>1</v>
      </c>
    </row>
    <row r="157" spans="1:15" x14ac:dyDescent="0.2">
      <c r="A157" t="s">
        <v>11</v>
      </c>
      <c r="B157">
        <v>7</v>
      </c>
      <c r="C157" t="s">
        <v>16</v>
      </c>
      <c r="D157">
        <v>2</v>
      </c>
      <c r="E157" s="3">
        <v>0.88900000000000001</v>
      </c>
      <c r="F157">
        <v>3.7</v>
      </c>
      <c r="G157">
        <v>0.62</v>
      </c>
      <c r="L157">
        <v>0.03</v>
      </c>
      <c r="O157">
        <v>1</v>
      </c>
    </row>
    <row r="158" spans="1:15" x14ac:dyDescent="0.2">
      <c r="A158" t="s">
        <v>11</v>
      </c>
      <c r="B158">
        <v>7</v>
      </c>
      <c r="C158" t="s">
        <v>16</v>
      </c>
      <c r="D158">
        <v>3</v>
      </c>
      <c r="E158" s="3">
        <v>1.6001999999999998</v>
      </c>
      <c r="F158">
        <v>4.4000000000000004</v>
      </c>
      <c r="G158">
        <v>0.79</v>
      </c>
      <c r="L158">
        <v>0.03</v>
      </c>
      <c r="O158">
        <v>1</v>
      </c>
    </row>
    <row r="159" spans="1:15" x14ac:dyDescent="0.2">
      <c r="A159" t="s">
        <v>11</v>
      </c>
      <c r="B159">
        <v>7</v>
      </c>
      <c r="C159" t="s">
        <v>16</v>
      </c>
      <c r="D159">
        <v>4</v>
      </c>
      <c r="E159" s="3">
        <v>1.0413999999999999</v>
      </c>
      <c r="F159">
        <v>3.5</v>
      </c>
      <c r="G159">
        <v>0.35</v>
      </c>
      <c r="L159">
        <v>0.03</v>
      </c>
      <c r="O159">
        <v>1</v>
      </c>
    </row>
    <row r="160" spans="1:15" x14ac:dyDescent="0.2">
      <c r="A160" t="s">
        <v>11</v>
      </c>
      <c r="B160">
        <v>7</v>
      </c>
      <c r="C160" t="s">
        <v>16</v>
      </c>
      <c r="D160">
        <v>5</v>
      </c>
      <c r="E160" s="3">
        <v>0.88900000000000001</v>
      </c>
      <c r="F160">
        <v>4.2</v>
      </c>
      <c r="G160">
        <v>0.46</v>
      </c>
      <c r="L160">
        <v>0.03</v>
      </c>
      <c r="O160">
        <v>1</v>
      </c>
    </row>
    <row r="161" spans="1:15" x14ac:dyDescent="0.2">
      <c r="A161" t="s">
        <v>11</v>
      </c>
      <c r="B161">
        <v>7</v>
      </c>
      <c r="C161" t="s">
        <v>16</v>
      </c>
      <c r="D161">
        <v>6</v>
      </c>
      <c r="E161" s="3">
        <v>1.7018</v>
      </c>
      <c r="F161">
        <v>3.3</v>
      </c>
      <c r="G161">
        <v>0.82</v>
      </c>
      <c r="L161">
        <v>0.03</v>
      </c>
      <c r="O161">
        <v>1</v>
      </c>
    </row>
    <row r="162" spans="1:15" x14ac:dyDescent="0.2">
      <c r="A162" t="s">
        <v>11</v>
      </c>
      <c r="B162">
        <v>7</v>
      </c>
      <c r="C162" t="s">
        <v>16</v>
      </c>
      <c r="D162">
        <v>7</v>
      </c>
      <c r="E162" s="3">
        <v>1.27</v>
      </c>
      <c r="F162">
        <v>4.0999999999999996</v>
      </c>
      <c r="G162">
        <v>0.86</v>
      </c>
      <c r="L162">
        <v>0.03</v>
      </c>
      <c r="O162">
        <v>1</v>
      </c>
    </row>
    <row r="163" spans="1:15" x14ac:dyDescent="0.2">
      <c r="A163" t="s">
        <v>11</v>
      </c>
      <c r="B163">
        <v>7</v>
      </c>
      <c r="C163" t="s">
        <v>16</v>
      </c>
      <c r="D163">
        <v>8</v>
      </c>
      <c r="E163" s="3">
        <v>0.88900000000000001</v>
      </c>
      <c r="F163">
        <v>3.8</v>
      </c>
      <c r="G163">
        <v>0.28000000000000003</v>
      </c>
      <c r="L163">
        <v>0.03</v>
      </c>
      <c r="O163">
        <v>1</v>
      </c>
    </row>
    <row r="164" spans="1:15" x14ac:dyDescent="0.2">
      <c r="A164" t="s">
        <v>11</v>
      </c>
      <c r="B164">
        <v>7</v>
      </c>
      <c r="C164" t="s">
        <v>16</v>
      </c>
      <c r="D164">
        <v>9</v>
      </c>
      <c r="E164" s="3">
        <v>0.86360000000000003</v>
      </c>
      <c r="F164">
        <v>4.5999999999999996</v>
      </c>
      <c r="G164">
        <v>0.36</v>
      </c>
      <c r="L164">
        <v>0.03</v>
      </c>
      <c r="O164">
        <v>1</v>
      </c>
    </row>
    <row r="165" spans="1:15" x14ac:dyDescent="0.2">
      <c r="A165" t="s">
        <v>11</v>
      </c>
      <c r="B165">
        <v>7</v>
      </c>
      <c r="C165" t="s">
        <v>21</v>
      </c>
      <c r="D165">
        <v>1</v>
      </c>
      <c r="E165">
        <v>0.17899999999999999</v>
      </c>
      <c r="F165">
        <v>12</v>
      </c>
      <c r="G165">
        <v>3.2000000000000002E-3</v>
      </c>
      <c r="L165">
        <v>0.03</v>
      </c>
      <c r="O165">
        <v>1</v>
      </c>
    </row>
    <row r="166" spans="1:15" x14ac:dyDescent="0.2">
      <c r="A166" t="s">
        <v>11</v>
      </c>
      <c r="B166">
        <v>7</v>
      </c>
      <c r="C166" t="s">
        <v>21</v>
      </c>
      <c r="D166">
        <v>2</v>
      </c>
      <c r="E166" s="2">
        <v>0.22800000000000001</v>
      </c>
      <c r="F166">
        <v>11.3</v>
      </c>
      <c r="G166">
        <v>3.3000000000000002E-2</v>
      </c>
      <c r="L166">
        <v>0.03</v>
      </c>
      <c r="O166">
        <v>1</v>
      </c>
    </row>
    <row r="167" spans="1:15" x14ac:dyDescent="0.2">
      <c r="A167" t="s">
        <v>11</v>
      </c>
      <c r="B167">
        <v>7</v>
      </c>
      <c r="C167" t="s">
        <v>21</v>
      </c>
      <c r="D167">
        <v>3</v>
      </c>
      <c r="E167" s="2">
        <v>0.29599999999999999</v>
      </c>
      <c r="F167">
        <v>12.8</v>
      </c>
      <c r="G167">
        <v>3.8999999999999998E-3</v>
      </c>
      <c r="L167">
        <v>0.03</v>
      </c>
      <c r="O167">
        <v>1</v>
      </c>
    </row>
    <row r="168" spans="1:15" x14ac:dyDescent="0.2">
      <c r="A168" t="s">
        <v>11</v>
      </c>
      <c r="B168">
        <v>7</v>
      </c>
      <c r="C168" t="s">
        <v>21</v>
      </c>
      <c r="D168">
        <v>4</v>
      </c>
      <c r="E168" s="2">
        <v>0.19900000000000001</v>
      </c>
      <c r="F168">
        <v>11.7</v>
      </c>
      <c r="G168">
        <v>3.3E-3</v>
      </c>
      <c r="L168">
        <v>0.03</v>
      </c>
      <c r="O168">
        <v>1</v>
      </c>
    </row>
    <row r="169" spans="1:15" x14ac:dyDescent="0.2">
      <c r="A169" t="s">
        <v>11</v>
      </c>
      <c r="B169">
        <v>7</v>
      </c>
      <c r="C169" t="s">
        <v>21</v>
      </c>
      <c r="D169">
        <v>5</v>
      </c>
      <c r="E169" s="2">
        <v>0.214</v>
      </c>
      <c r="F169">
        <v>13.1</v>
      </c>
      <c r="G169">
        <v>4.5999999999999999E-3</v>
      </c>
      <c r="L169">
        <v>0.03</v>
      </c>
      <c r="O169">
        <v>1</v>
      </c>
    </row>
    <row r="170" spans="1:15" x14ac:dyDescent="0.2">
      <c r="A170" t="s">
        <v>11</v>
      </c>
      <c r="B170">
        <v>7</v>
      </c>
      <c r="C170" t="s">
        <v>21</v>
      </c>
      <c r="D170">
        <v>6</v>
      </c>
      <c r="E170" s="2">
        <v>0.23200000000000001</v>
      </c>
      <c r="F170">
        <v>10.9</v>
      </c>
      <c r="G170">
        <v>5.1000000000000004E-3</v>
      </c>
      <c r="L170">
        <v>0.03</v>
      </c>
      <c r="O170">
        <v>1</v>
      </c>
    </row>
    <row r="171" spans="1:15" x14ac:dyDescent="0.2">
      <c r="A171" t="s">
        <v>11</v>
      </c>
      <c r="B171">
        <v>7</v>
      </c>
      <c r="C171" t="s">
        <v>21</v>
      </c>
      <c r="D171">
        <v>7</v>
      </c>
      <c r="E171" s="2">
        <v>0.17</v>
      </c>
      <c r="F171">
        <v>12.4</v>
      </c>
      <c r="G171">
        <v>4.4000000000000003E-3</v>
      </c>
      <c r="L171">
        <v>0.03</v>
      </c>
      <c r="O171">
        <v>1</v>
      </c>
    </row>
    <row r="172" spans="1:15" x14ac:dyDescent="0.2">
      <c r="A172" t="s">
        <v>11</v>
      </c>
      <c r="B172">
        <v>7</v>
      </c>
      <c r="C172" t="s">
        <v>21</v>
      </c>
      <c r="D172">
        <v>8</v>
      </c>
      <c r="E172" s="2">
        <v>0.17799999999999999</v>
      </c>
      <c r="F172">
        <v>11.5</v>
      </c>
      <c r="G172">
        <v>4.7999999999999996E-3</v>
      </c>
      <c r="L172">
        <v>0.03</v>
      </c>
      <c r="O172">
        <v>1</v>
      </c>
    </row>
    <row r="173" spans="1:15" x14ac:dyDescent="0.2">
      <c r="A173" t="s">
        <v>11</v>
      </c>
      <c r="B173">
        <v>7</v>
      </c>
      <c r="C173" t="s">
        <v>21</v>
      </c>
      <c r="D173">
        <v>9</v>
      </c>
      <c r="E173" s="2">
        <v>0.14599999999999999</v>
      </c>
      <c r="F173">
        <v>12.6</v>
      </c>
      <c r="G173">
        <v>2.5000000000000001E-3</v>
      </c>
      <c r="L173">
        <v>0.03</v>
      </c>
      <c r="O173">
        <v>1</v>
      </c>
    </row>
    <row r="174" spans="1:15" x14ac:dyDescent="0.2">
      <c r="A174" t="s">
        <v>26</v>
      </c>
      <c r="B174">
        <v>1</v>
      </c>
      <c r="C174" t="s">
        <v>27</v>
      </c>
      <c r="D174">
        <v>1</v>
      </c>
      <c r="E174">
        <v>0.63600000000000001</v>
      </c>
      <c r="F174">
        <v>12</v>
      </c>
      <c r="G174">
        <v>0.36</v>
      </c>
      <c r="L174">
        <v>4</v>
      </c>
      <c r="O174">
        <v>15</v>
      </c>
    </row>
    <row r="175" spans="1:15" x14ac:dyDescent="0.2">
      <c r="A175" t="s">
        <v>26</v>
      </c>
      <c r="B175">
        <v>1</v>
      </c>
      <c r="C175" t="s">
        <v>27</v>
      </c>
      <c r="D175">
        <v>2</v>
      </c>
      <c r="E175">
        <v>0.76</v>
      </c>
      <c r="F175">
        <v>11</v>
      </c>
      <c r="G175">
        <v>0.98</v>
      </c>
      <c r="L175">
        <v>4</v>
      </c>
      <c r="O175">
        <v>15</v>
      </c>
    </row>
    <row r="176" spans="1:15" x14ac:dyDescent="0.2">
      <c r="A176" t="s">
        <v>26</v>
      </c>
      <c r="B176">
        <v>1</v>
      </c>
      <c r="C176" t="s">
        <v>27</v>
      </c>
      <c r="D176">
        <v>3</v>
      </c>
      <c r="E176">
        <v>0.79500000000000004</v>
      </c>
      <c r="F176">
        <v>14</v>
      </c>
      <c r="G176">
        <v>1.24</v>
      </c>
      <c r="L176">
        <v>4</v>
      </c>
      <c r="O176">
        <v>15</v>
      </c>
    </row>
    <row r="177" spans="1:15" x14ac:dyDescent="0.2">
      <c r="A177" t="s">
        <v>26</v>
      </c>
      <c r="B177">
        <v>1</v>
      </c>
      <c r="C177" t="s">
        <v>27</v>
      </c>
      <c r="D177">
        <v>4</v>
      </c>
      <c r="E177">
        <v>1.5649999999999999</v>
      </c>
      <c r="F177">
        <v>13</v>
      </c>
      <c r="G177">
        <v>0.99</v>
      </c>
      <c r="L177">
        <v>4</v>
      </c>
      <c r="O177">
        <v>15</v>
      </c>
    </row>
    <row r="178" spans="1:15" x14ac:dyDescent="0.2">
      <c r="A178" t="s">
        <v>26</v>
      </c>
      <c r="B178">
        <v>1</v>
      </c>
      <c r="C178" t="s">
        <v>27</v>
      </c>
      <c r="D178">
        <v>5</v>
      </c>
      <c r="E178">
        <v>0.84799999999999998</v>
      </c>
      <c r="F178">
        <v>18</v>
      </c>
      <c r="G178">
        <v>1.06</v>
      </c>
      <c r="L178">
        <v>4</v>
      </c>
      <c r="O178">
        <v>15</v>
      </c>
    </row>
    <row r="179" spans="1:15" x14ac:dyDescent="0.2">
      <c r="A179" t="s">
        <v>26</v>
      </c>
      <c r="B179">
        <v>1</v>
      </c>
      <c r="C179" t="s">
        <v>27</v>
      </c>
      <c r="D179">
        <v>6</v>
      </c>
      <c r="E179">
        <v>0.65900000000000003</v>
      </c>
      <c r="F179">
        <v>10</v>
      </c>
      <c r="G179">
        <v>0.41</v>
      </c>
      <c r="L179">
        <v>4</v>
      </c>
      <c r="O179">
        <v>15</v>
      </c>
    </row>
    <row r="180" spans="1:15" x14ac:dyDescent="0.2">
      <c r="A180" t="s">
        <v>26</v>
      </c>
      <c r="B180">
        <v>1</v>
      </c>
      <c r="C180" t="s">
        <v>27</v>
      </c>
      <c r="D180">
        <v>7</v>
      </c>
      <c r="E180">
        <v>0.623</v>
      </c>
      <c r="F180">
        <v>9</v>
      </c>
      <c r="G180">
        <v>0.41</v>
      </c>
      <c r="L180">
        <v>4</v>
      </c>
      <c r="O180">
        <v>15</v>
      </c>
    </row>
    <row r="181" spans="1:15" x14ac:dyDescent="0.2">
      <c r="A181" t="s">
        <v>26</v>
      </c>
      <c r="B181">
        <v>1</v>
      </c>
      <c r="C181" t="s">
        <v>27</v>
      </c>
      <c r="D181">
        <v>8</v>
      </c>
      <c r="E181">
        <v>1.054</v>
      </c>
      <c r="F181">
        <v>10</v>
      </c>
      <c r="G181">
        <v>0.65</v>
      </c>
      <c r="L181">
        <v>4</v>
      </c>
      <c r="O181">
        <v>15</v>
      </c>
    </row>
    <row r="182" spans="1:15" x14ac:dyDescent="0.2">
      <c r="A182" t="s">
        <v>26</v>
      </c>
      <c r="B182">
        <v>1</v>
      </c>
      <c r="C182" t="s">
        <v>27</v>
      </c>
      <c r="D182">
        <v>9</v>
      </c>
      <c r="E182">
        <v>1.252</v>
      </c>
      <c r="F182">
        <v>7</v>
      </c>
      <c r="G182">
        <v>0.79</v>
      </c>
      <c r="L182">
        <v>4</v>
      </c>
      <c r="O182">
        <v>15</v>
      </c>
    </row>
    <row r="183" spans="1:15" x14ac:dyDescent="0.2">
      <c r="A183" t="s">
        <v>26</v>
      </c>
      <c r="B183">
        <v>1</v>
      </c>
      <c r="C183" t="s">
        <v>28</v>
      </c>
      <c r="D183">
        <v>1</v>
      </c>
      <c r="E183">
        <v>0.63700000000000001</v>
      </c>
      <c r="F183">
        <v>14</v>
      </c>
      <c r="G183">
        <v>0.45</v>
      </c>
      <c r="L183">
        <v>4</v>
      </c>
      <c r="O183">
        <v>10</v>
      </c>
    </row>
    <row r="184" spans="1:15" x14ac:dyDescent="0.2">
      <c r="A184" t="s">
        <v>26</v>
      </c>
      <c r="B184">
        <v>1</v>
      </c>
      <c r="C184" t="s">
        <v>28</v>
      </c>
      <c r="D184">
        <v>2</v>
      </c>
      <c r="E184">
        <v>0.66400000000000003</v>
      </c>
      <c r="F184">
        <v>15</v>
      </c>
      <c r="G184">
        <v>0.38</v>
      </c>
      <c r="L184">
        <v>4</v>
      </c>
      <c r="O184">
        <v>10</v>
      </c>
    </row>
    <row r="185" spans="1:15" x14ac:dyDescent="0.2">
      <c r="A185" t="s">
        <v>26</v>
      </c>
      <c r="B185">
        <v>1</v>
      </c>
      <c r="C185" t="s">
        <v>28</v>
      </c>
      <c r="D185">
        <v>3</v>
      </c>
      <c r="E185">
        <v>0.624</v>
      </c>
      <c r="F185">
        <v>7</v>
      </c>
      <c r="G185">
        <v>0.35</v>
      </c>
      <c r="L185">
        <v>4</v>
      </c>
      <c r="O185">
        <v>10</v>
      </c>
    </row>
    <row r="186" spans="1:15" x14ac:dyDescent="0.2">
      <c r="A186" t="s">
        <v>26</v>
      </c>
      <c r="B186">
        <v>1</v>
      </c>
      <c r="C186" t="s">
        <v>28</v>
      </c>
      <c r="D186">
        <v>4</v>
      </c>
      <c r="E186">
        <v>0.56999999999999995</v>
      </c>
      <c r="F186">
        <v>14</v>
      </c>
      <c r="G186">
        <v>0.87</v>
      </c>
      <c r="L186">
        <v>4</v>
      </c>
      <c r="O186">
        <v>10</v>
      </c>
    </row>
    <row r="187" spans="1:15" x14ac:dyDescent="0.2">
      <c r="A187" t="s">
        <v>26</v>
      </c>
      <c r="B187">
        <v>1</v>
      </c>
      <c r="C187" t="s">
        <v>28</v>
      </c>
      <c r="D187">
        <v>5</v>
      </c>
      <c r="E187">
        <v>0.63700000000000001</v>
      </c>
      <c r="F187">
        <v>16</v>
      </c>
      <c r="G187">
        <v>0.51</v>
      </c>
      <c r="L187">
        <v>4</v>
      </c>
      <c r="O187">
        <v>10</v>
      </c>
    </row>
    <row r="188" spans="1:15" x14ac:dyDescent="0.2">
      <c r="A188" t="s">
        <v>26</v>
      </c>
      <c r="B188">
        <v>1</v>
      </c>
      <c r="C188" t="s">
        <v>28</v>
      </c>
      <c r="D188">
        <v>6</v>
      </c>
      <c r="E188">
        <v>0.61099999999999999</v>
      </c>
      <c r="F188">
        <v>13</v>
      </c>
      <c r="G188">
        <v>0.77</v>
      </c>
      <c r="L188">
        <v>4</v>
      </c>
      <c r="O188">
        <v>10</v>
      </c>
    </row>
    <row r="189" spans="1:15" x14ac:dyDescent="0.2">
      <c r="A189" t="s">
        <v>26</v>
      </c>
      <c r="B189">
        <v>1</v>
      </c>
      <c r="C189" t="s">
        <v>28</v>
      </c>
      <c r="D189">
        <v>7</v>
      </c>
      <c r="E189">
        <v>0.60099999999999998</v>
      </c>
      <c r="F189">
        <v>8</v>
      </c>
      <c r="G189">
        <v>0.28000000000000003</v>
      </c>
      <c r="L189">
        <v>4</v>
      </c>
      <c r="O189">
        <v>10</v>
      </c>
    </row>
    <row r="190" spans="1:15" x14ac:dyDescent="0.2">
      <c r="A190" t="s">
        <v>26</v>
      </c>
      <c r="B190">
        <v>1</v>
      </c>
      <c r="C190" t="s">
        <v>28</v>
      </c>
      <c r="D190">
        <v>8</v>
      </c>
      <c r="E190">
        <v>0.70599999999999996</v>
      </c>
      <c r="F190">
        <v>8</v>
      </c>
      <c r="G190">
        <v>0.54</v>
      </c>
      <c r="L190">
        <v>4</v>
      </c>
      <c r="O190">
        <v>10</v>
      </c>
    </row>
    <row r="191" spans="1:15" x14ac:dyDescent="0.2">
      <c r="A191" t="s">
        <v>26</v>
      </c>
      <c r="B191">
        <v>1</v>
      </c>
      <c r="C191" t="s">
        <v>28</v>
      </c>
      <c r="D191">
        <v>9</v>
      </c>
      <c r="E191">
        <v>0.56299999999999994</v>
      </c>
      <c r="F191">
        <v>6</v>
      </c>
      <c r="G191">
        <v>0.34</v>
      </c>
      <c r="L191">
        <v>4</v>
      </c>
      <c r="O191">
        <v>10</v>
      </c>
    </row>
    <row r="192" spans="1:15" x14ac:dyDescent="0.2">
      <c r="A192" t="s">
        <v>26</v>
      </c>
      <c r="B192">
        <v>1</v>
      </c>
      <c r="C192" t="s">
        <v>30</v>
      </c>
      <c r="D192">
        <v>1</v>
      </c>
      <c r="E192">
        <v>0.91700000000000004</v>
      </c>
      <c r="F192">
        <v>38.5</v>
      </c>
      <c r="G192">
        <v>0.09</v>
      </c>
      <c r="L192">
        <v>4</v>
      </c>
      <c r="O192">
        <v>45</v>
      </c>
    </row>
    <row r="193" spans="1:15" x14ac:dyDescent="0.2">
      <c r="A193" t="s">
        <v>26</v>
      </c>
      <c r="B193">
        <v>1</v>
      </c>
      <c r="C193" t="s">
        <v>30</v>
      </c>
      <c r="D193">
        <v>2</v>
      </c>
      <c r="E193">
        <v>0.76300000000000001</v>
      </c>
      <c r="F193">
        <v>27</v>
      </c>
      <c r="G193">
        <v>0.05</v>
      </c>
      <c r="L193">
        <v>4</v>
      </c>
      <c r="O193">
        <v>45</v>
      </c>
    </row>
    <row r="194" spans="1:15" x14ac:dyDescent="0.2">
      <c r="A194" t="s">
        <v>26</v>
      </c>
      <c r="B194">
        <v>1</v>
      </c>
      <c r="C194" t="s">
        <v>30</v>
      </c>
      <c r="D194">
        <v>3</v>
      </c>
      <c r="E194">
        <v>0.92800000000000005</v>
      </c>
      <c r="F194">
        <v>24</v>
      </c>
      <c r="G194">
        <v>0.1</v>
      </c>
      <c r="L194">
        <v>4</v>
      </c>
      <c r="O194">
        <v>45</v>
      </c>
    </row>
    <row r="195" spans="1:15" x14ac:dyDescent="0.2">
      <c r="A195" t="s">
        <v>26</v>
      </c>
      <c r="B195">
        <v>1</v>
      </c>
      <c r="C195" t="s">
        <v>30</v>
      </c>
      <c r="D195">
        <v>4</v>
      </c>
      <c r="E195">
        <v>1.0469999999999999</v>
      </c>
      <c r="F195">
        <v>25.5</v>
      </c>
      <c r="G195">
        <v>0.09</v>
      </c>
      <c r="L195">
        <v>4</v>
      </c>
      <c r="O195">
        <v>45</v>
      </c>
    </row>
    <row r="196" spans="1:15" x14ac:dyDescent="0.2">
      <c r="A196" t="s">
        <v>26</v>
      </c>
      <c r="B196">
        <v>1</v>
      </c>
      <c r="C196" t="s">
        <v>30</v>
      </c>
      <c r="D196">
        <v>5</v>
      </c>
      <c r="E196">
        <v>0.73599999999999999</v>
      </c>
      <c r="F196">
        <v>35</v>
      </c>
      <c r="G196">
        <v>0.06</v>
      </c>
      <c r="L196">
        <v>4</v>
      </c>
      <c r="O196">
        <v>45</v>
      </c>
    </row>
    <row r="197" spans="1:15" x14ac:dyDescent="0.2">
      <c r="A197" t="s">
        <v>26</v>
      </c>
      <c r="B197">
        <v>1</v>
      </c>
      <c r="C197" t="s">
        <v>30</v>
      </c>
      <c r="D197">
        <v>6</v>
      </c>
      <c r="E197">
        <v>0.82499999999999996</v>
      </c>
      <c r="F197">
        <v>25.75</v>
      </c>
      <c r="G197">
        <v>0.06</v>
      </c>
      <c r="L197">
        <v>4</v>
      </c>
      <c r="O197">
        <v>45</v>
      </c>
    </row>
    <row r="198" spans="1:15" x14ac:dyDescent="0.2">
      <c r="A198" t="s">
        <v>26</v>
      </c>
      <c r="B198">
        <v>1</v>
      </c>
      <c r="C198" t="s">
        <v>30</v>
      </c>
      <c r="D198">
        <v>7</v>
      </c>
      <c r="E198">
        <v>0.84</v>
      </c>
      <c r="F198">
        <v>22</v>
      </c>
      <c r="G198">
        <v>0.08</v>
      </c>
      <c r="L198">
        <v>4</v>
      </c>
      <c r="O198">
        <v>45</v>
      </c>
    </row>
    <row r="199" spans="1:15" x14ac:dyDescent="0.2">
      <c r="A199" t="s">
        <v>26</v>
      </c>
      <c r="B199">
        <v>1</v>
      </c>
      <c r="C199" t="s">
        <v>30</v>
      </c>
      <c r="D199">
        <v>8</v>
      </c>
      <c r="E199">
        <v>1.3740000000000001</v>
      </c>
      <c r="F199">
        <v>34.4</v>
      </c>
      <c r="G199">
        <v>0.14000000000000001</v>
      </c>
      <c r="L199">
        <v>4</v>
      </c>
      <c r="O199">
        <v>45</v>
      </c>
    </row>
    <row r="200" spans="1:15" x14ac:dyDescent="0.2">
      <c r="A200" t="s">
        <v>26</v>
      </c>
      <c r="B200">
        <v>1</v>
      </c>
      <c r="C200" t="s">
        <v>30</v>
      </c>
      <c r="D200">
        <v>9</v>
      </c>
      <c r="E200">
        <v>0.86599999999999999</v>
      </c>
      <c r="F200">
        <v>38.200000000000003</v>
      </c>
      <c r="G200">
        <v>0.06</v>
      </c>
      <c r="L200">
        <v>4</v>
      </c>
      <c r="O200">
        <v>45</v>
      </c>
    </row>
    <row r="201" spans="1:15" x14ac:dyDescent="0.2">
      <c r="A201" t="s">
        <v>26</v>
      </c>
      <c r="B201">
        <v>1</v>
      </c>
      <c r="C201" t="s">
        <v>29</v>
      </c>
      <c r="D201">
        <v>1</v>
      </c>
      <c r="E201">
        <v>1.538</v>
      </c>
      <c r="F201">
        <v>6</v>
      </c>
      <c r="G201">
        <v>0.05</v>
      </c>
      <c r="L201">
        <v>4</v>
      </c>
      <c r="O201">
        <v>30</v>
      </c>
    </row>
    <row r="202" spans="1:15" x14ac:dyDescent="0.2">
      <c r="A202" t="s">
        <v>26</v>
      </c>
      <c r="B202">
        <v>1</v>
      </c>
      <c r="C202" t="s">
        <v>29</v>
      </c>
      <c r="D202">
        <v>2</v>
      </c>
      <c r="E202">
        <v>1.34</v>
      </c>
      <c r="F202">
        <v>7</v>
      </c>
      <c r="G202">
        <v>0.09</v>
      </c>
      <c r="L202">
        <v>4</v>
      </c>
      <c r="O202">
        <v>30</v>
      </c>
    </row>
    <row r="203" spans="1:15" x14ac:dyDescent="0.2">
      <c r="A203" t="s">
        <v>26</v>
      </c>
      <c r="B203">
        <v>1</v>
      </c>
      <c r="C203" t="s">
        <v>29</v>
      </c>
      <c r="D203">
        <v>3</v>
      </c>
      <c r="E203">
        <v>1.458</v>
      </c>
      <c r="F203">
        <v>8</v>
      </c>
      <c r="G203">
        <v>7.0000000000000007E-2</v>
      </c>
      <c r="L203">
        <v>4</v>
      </c>
      <c r="O203">
        <v>30</v>
      </c>
    </row>
    <row r="204" spans="1:15" x14ac:dyDescent="0.2">
      <c r="A204" t="s">
        <v>26</v>
      </c>
      <c r="B204">
        <v>1</v>
      </c>
      <c r="C204" t="s">
        <v>29</v>
      </c>
      <c r="D204">
        <v>4</v>
      </c>
      <c r="E204">
        <v>1.7370000000000001</v>
      </c>
      <c r="F204">
        <v>8</v>
      </c>
      <c r="G204">
        <v>0.1</v>
      </c>
      <c r="L204">
        <v>4</v>
      </c>
      <c r="O204">
        <v>30</v>
      </c>
    </row>
    <row r="205" spans="1:15" x14ac:dyDescent="0.2">
      <c r="A205" t="s">
        <v>26</v>
      </c>
      <c r="B205">
        <v>1</v>
      </c>
      <c r="C205" t="s">
        <v>29</v>
      </c>
      <c r="D205">
        <v>5</v>
      </c>
      <c r="E205">
        <v>1.377</v>
      </c>
      <c r="F205">
        <v>8</v>
      </c>
      <c r="G205">
        <v>0.05</v>
      </c>
      <c r="L205">
        <v>4</v>
      </c>
      <c r="O205">
        <v>30</v>
      </c>
    </row>
    <row r="206" spans="1:15" x14ac:dyDescent="0.2">
      <c r="A206" t="s">
        <v>26</v>
      </c>
      <c r="B206">
        <v>1</v>
      </c>
      <c r="C206" t="s">
        <v>29</v>
      </c>
      <c r="D206">
        <v>6</v>
      </c>
      <c r="E206">
        <v>1.478</v>
      </c>
      <c r="F206">
        <v>10</v>
      </c>
      <c r="G206">
        <v>0.1</v>
      </c>
      <c r="L206">
        <v>4</v>
      </c>
      <c r="O206">
        <v>30</v>
      </c>
    </row>
    <row r="207" spans="1:15" x14ac:dyDescent="0.2">
      <c r="A207" t="s">
        <v>26</v>
      </c>
      <c r="B207">
        <v>1</v>
      </c>
      <c r="C207" t="s">
        <v>29</v>
      </c>
      <c r="D207">
        <v>7</v>
      </c>
      <c r="E207">
        <v>1.3919999999999999</v>
      </c>
      <c r="F207">
        <v>10</v>
      </c>
      <c r="G207">
        <v>0.06</v>
      </c>
      <c r="L207">
        <v>4</v>
      </c>
      <c r="O207">
        <v>30</v>
      </c>
    </row>
    <row r="208" spans="1:15" x14ac:dyDescent="0.2">
      <c r="A208" t="s">
        <v>26</v>
      </c>
      <c r="B208">
        <v>1</v>
      </c>
      <c r="C208" t="s">
        <v>29</v>
      </c>
      <c r="D208">
        <v>8</v>
      </c>
      <c r="E208">
        <v>1.2929999999999999</v>
      </c>
      <c r="F208">
        <v>12</v>
      </c>
      <c r="G208">
        <v>0.09</v>
      </c>
      <c r="L208">
        <v>4</v>
      </c>
      <c r="O208">
        <v>30</v>
      </c>
    </row>
    <row r="209" spans="1:15" x14ac:dyDescent="0.2">
      <c r="A209" t="s">
        <v>26</v>
      </c>
      <c r="B209">
        <v>1</v>
      </c>
      <c r="C209" t="s">
        <v>29</v>
      </c>
      <c r="D209">
        <v>9</v>
      </c>
      <c r="E209">
        <v>1.1180000000000001</v>
      </c>
      <c r="F209">
        <v>12</v>
      </c>
      <c r="G209">
        <v>0.11</v>
      </c>
      <c r="L209">
        <v>4</v>
      </c>
      <c r="O209">
        <v>30</v>
      </c>
    </row>
    <row r="210" spans="1:15" x14ac:dyDescent="0.2">
      <c r="A210" t="s">
        <v>26</v>
      </c>
      <c r="B210">
        <v>2</v>
      </c>
      <c r="C210" t="s">
        <v>30</v>
      </c>
      <c r="D210">
        <v>1</v>
      </c>
      <c r="E210">
        <v>0.88400000000000001</v>
      </c>
      <c r="F210">
        <v>29</v>
      </c>
      <c r="G210">
        <v>7.0000000000000007E-2</v>
      </c>
      <c r="L210">
        <v>3.57</v>
      </c>
      <c r="O210">
        <v>80</v>
      </c>
    </row>
    <row r="211" spans="1:15" x14ac:dyDescent="0.2">
      <c r="A211" t="s">
        <v>26</v>
      </c>
      <c r="B211">
        <v>2</v>
      </c>
      <c r="C211" t="s">
        <v>30</v>
      </c>
      <c r="D211">
        <v>2</v>
      </c>
      <c r="E211">
        <v>0.88600000000000001</v>
      </c>
      <c r="F211">
        <v>29</v>
      </c>
      <c r="G211">
        <v>7.0000000000000007E-2</v>
      </c>
      <c r="L211">
        <v>3.57</v>
      </c>
      <c r="O211">
        <v>80</v>
      </c>
    </row>
    <row r="212" spans="1:15" x14ac:dyDescent="0.2">
      <c r="A212" t="s">
        <v>26</v>
      </c>
      <c r="B212">
        <v>2</v>
      </c>
      <c r="C212" t="s">
        <v>30</v>
      </c>
      <c r="D212">
        <v>3</v>
      </c>
      <c r="E212">
        <v>0.93899999999999995</v>
      </c>
      <c r="F212">
        <v>24</v>
      </c>
      <c r="G212">
        <v>0.11</v>
      </c>
      <c r="L212">
        <v>3.57</v>
      </c>
      <c r="O212">
        <v>80</v>
      </c>
    </row>
    <row r="213" spans="1:15" x14ac:dyDescent="0.2">
      <c r="A213" t="s">
        <v>26</v>
      </c>
      <c r="B213">
        <v>2</v>
      </c>
      <c r="C213" t="s">
        <v>30</v>
      </c>
      <c r="D213">
        <v>4</v>
      </c>
      <c r="E213">
        <v>0.80300000000000005</v>
      </c>
      <c r="F213">
        <v>27</v>
      </c>
      <c r="G213">
        <v>0.05</v>
      </c>
      <c r="L213">
        <v>3.57</v>
      </c>
      <c r="O213">
        <v>80</v>
      </c>
    </row>
    <row r="214" spans="1:15" x14ac:dyDescent="0.2">
      <c r="A214" t="s">
        <v>26</v>
      </c>
      <c r="B214">
        <v>2</v>
      </c>
      <c r="C214" t="s">
        <v>30</v>
      </c>
      <c r="D214">
        <v>5</v>
      </c>
      <c r="E214">
        <v>0.84</v>
      </c>
      <c r="F214">
        <v>32</v>
      </c>
      <c r="G214">
        <v>0.04</v>
      </c>
      <c r="L214">
        <v>3.57</v>
      </c>
      <c r="O214">
        <v>80</v>
      </c>
    </row>
    <row r="215" spans="1:15" x14ac:dyDescent="0.2">
      <c r="A215" t="s">
        <v>26</v>
      </c>
      <c r="B215">
        <v>2</v>
      </c>
      <c r="C215" t="s">
        <v>30</v>
      </c>
      <c r="D215">
        <v>6</v>
      </c>
      <c r="E215">
        <v>1.07</v>
      </c>
      <c r="F215">
        <v>33</v>
      </c>
      <c r="G215">
        <v>0.11</v>
      </c>
      <c r="L215">
        <v>3.57</v>
      </c>
      <c r="O215">
        <v>80</v>
      </c>
    </row>
    <row r="216" spans="1:15" x14ac:dyDescent="0.2">
      <c r="A216" t="s">
        <v>26</v>
      </c>
      <c r="B216">
        <v>2</v>
      </c>
      <c r="C216" t="s">
        <v>30</v>
      </c>
      <c r="D216">
        <v>7</v>
      </c>
      <c r="E216">
        <v>0.77</v>
      </c>
      <c r="F216">
        <v>34</v>
      </c>
      <c r="G216">
        <v>7.0000000000000007E-2</v>
      </c>
      <c r="L216">
        <v>3.57</v>
      </c>
      <c r="O216">
        <v>80</v>
      </c>
    </row>
    <row r="217" spans="1:15" x14ac:dyDescent="0.2">
      <c r="A217" t="s">
        <v>26</v>
      </c>
      <c r="B217">
        <v>2</v>
      </c>
      <c r="C217" t="s">
        <v>30</v>
      </c>
      <c r="D217">
        <v>8</v>
      </c>
      <c r="E217">
        <v>0.76900000000000002</v>
      </c>
      <c r="F217">
        <v>37</v>
      </c>
      <c r="G217">
        <v>0.05</v>
      </c>
      <c r="L217">
        <v>3.57</v>
      </c>
      <c r="O217">
        <v>80</v>
      </c>
    </row>
    <row r="218" spans="1:15" x14ac:dyDescent="0.2">
      <c r="A218" t="s">
        <v>26</v>
      </c>
      <c r="B218">
        <v>2</v>
      </c>
      <c r="C218" t="s">
        <v>30</v>
      </c>
      <c r="D218">
        <v>9</v>
      </c>
      <c r="E218">
        <v>0.86</v>
      </c>
      <c r="F218">
        <v>31</v>
      </c>
      <c r="G218">
        <v>7.0000000000000007E-2</v>
      </c>
      <c r="L218">
        <v>3.57</v>
      </c>
      <c r="O218">
        <v>80</v>
      </c>
    </row>
    <row r="219" spans="1:15" x14ac:dyDescent="0.2">
      <c r="A219" t="s">
        <v>26</v>
      </c>
      <c r="B219">
        <v>2</v>
      </c>
      <c r="C219" t="s">
        <v>28</v>
      </c>
      <c r="D219">
        <v>1</v>
      </c>
      <c r="E219">
        <v>0.55900000000000005</v>
      </c>
      <c r="F219">
        <v>13</v>
      </c>
      <c r="G219">
        <v>0.06</v>
      </c>
      <c r="L219">
        <v>3.57</v>
      </c>
      <c r="O219">
        <v>1</v>
      </c>
    </row>
    <row r="220" spans="1:15" x14ac:dyDescent="0.2">
      <c r="A220" t="s">
        <v>26</v>
      </c>
      <c r="B220">
        <v>2</v>
      </c>
      <c r="C220" t="s">
        <v>28</v>
      </c>
      <c r="D220">
        <v>2</v>
      </c>
      <c r="E220">
        <v>0.58799999999999997</v>
      </c>
      <c r="F220">
        <v>12.2</v>
      </c>
      <c r="G220">
        <v>0.1</v>
      </c>
      <c r="L220">
        <v>3.57</v>
      </c>
      <c r="O220">
        <v>1</v>
      </c>
    </row>
    <row r="221" spans="1:15" x14ac:dyDescent="0.2">
      <c r="A221" t="s">
        <v>26</v>
      </c>
      <c r="B221">
        <v>2</v>
      </c>
      <c r="C221" t="s">
        <v>28</v>
      </c>
      <c r="D221">
        <v>3</v>
      </c>
      <c r="E221">
        <v>0.58299999999999996</v>
      </c>
      <c r="F221">
        <v>14</v>
      </c>
      <c r="G221">
        <v>0.15</v>
      </c>
      <c r="L221">
        <v>3.57</v>
      </c>
      <c r="O221">
        <v>1</v>
      </c>
    </row>
    <row r="222" spans="1:15" x14ac:dyDescent="0.2">
      <c r="A222" t="s">
        <v>26</v>
      </c>
      <c r="B222">
        <v>2</v>
      </c>
      <c r="C222" t="s">
        <v>28</v>
      </c>
      <c r="D222">
        <v>4</v>
      </c>
      <c r="E222">
        <v>0.45400000000000001</v>
      </c>
      <c r="F222">
        <v>12.6</v>
      </c>
      <c r="G222">
        <v>0.08</v>
      </c>
      <c r="L222">
        <v>3.57</v>
      </c>
      <c r="O222">
        <v>1</v>
      </c>
    </row>
    <row r="223" spans="1:15" x14ac:dyDescent="0.2">
      <c r="A223" t="s">
        <v>26</v>
      </c>
      <c r="B223">
        <v>2</v>
      </c>
      <c r="C223" t="s">
        <v>28</v>
      </c>
      <c r="D223">
        <v>5</v>
      </c>
      <c r="E223">
        <v>0.52400000000000002</v>
      </c>
      <c r="F223">
        <v>13.8</v>
      </c>
      <c r="G223">
        <v>0.12</v>
      </c>
      <c r="L223">
        <v>3.57</v>
      </c>
      <c r="O223">
        <v>1</v>
      </c>
    </row>
    <row r="224" spans="1:15" x14ac:dyDescent="0.2">
      <c r="A224" t="s">
        <v>26</v>
      </c>
      <c r="B224">
        <v>2</v>
      </c>
      <c r="C224" t="s">
        <v>28</v>
      </c>
      <c r="D224">
        <v>6</v>
      </c>
      <c r="E224">
        <v>0.52</v>
      </c>
      <c r="F224">
        <v>11.8</v>
      </c>
      <c r="G224">
        <v>0.1</v>
      </c>
      <c r="L224">
        <v>3.57</v>
      </c>
      <c r="O224">
        <v>1</v>
      </c>
    </row>
    <row r="225" spans="1:15" x14ac:dyDescent="0.2">
      <c r="A225" t="s">
        <v>26</v>
      </c>
      <c r="B225">
        <v>2</v>
      </c>
      <c r="C225" t="s">
        <v>28</v>
      </c>
      <c r="D225">
        <v>7</v>
      </c>
      <c r="E225">
        <v>0.51300000000000001</v>
      </c>
      <c r="F225">
        <v>13.4</v>
      </c>
      <c r="G225">
        <v>0.09</v>
      </c>
      <c r="L225">
        <v>3.57</v>
      </c>
      <c r="O225">
        <v>1</v>
      </c>
    </row>
    <row r="226" spans="1:15" x14ac:dyDescent="0.2">
      <c r="A226" t="s">
        <v>26</v>
      </c>
      <c r="B226">
        <v>2</v>
      </c>
      <c r="C226" t="s">
        <v>28</v>
      </c>
      <c r="D226">
        <v>8</v>
      </c>
      <c r="E226">
        <v>0.61799999999999999</v>
      </c>
      <c r="F226">
        <v>12.5</v>
      </c>
      <c r="G226">
        <v>0.06</v>
      </c>
      <c r="L226">
        <v>3.57</v>
      </c>
      <c r="O226">
        <v>1</v>
      </c>
    </row>
    <row r="227" spans="1:15" x14ac:dyDescent="0.2">
      <c r="A227" t="s">
        <v>26</v>
      </c>
      <c r="B227">
        <v>2</v>
      </c>
      <c r="C227" t="s">
        <v>28</v>
      </c>
      <c r="D227">
        <v>9</v>
      </c>
      <c r="E227">
        <v>0.57499999999999996</v>
      </c>
      <c r="F227">
        <v>14.3</v>
      </c>
      <c r="G227">
        <v>0.06</v>
      </c>
      <c r="L227">
        <v>3.57</v>
      </c>
      <c r="O227">
        <v>1</v>
      </c>
    </row>
    <row r="228" spans="1:15" x14ac:dyDescent="0.2">
      <c r="A228" t="s">
        <v>26</v>
      </c>
      <c r="B228">
        <v>2</v>
      </c>
      <c r="C228" t="s">
        <v>27</v>
      </c>
      <c r="D228">
        <v>1</v>
      </c>
      <c r="E228">
        <v>0.61</v>
      </c>
      <c r="F228">
        <v>29</v>
      </c>
      <c r="G228">
        <v>0.62</v>
      </c>
      <c r="L228">
        <v>3.57</v>
      </c>
      <c r="O228">
        <v>5</v>
      </c>
    </row>
    <row r="229" spans="1:15" x14ac:dyDescent="0.2">
      <c r="A229" t="s">
        <v>26</v>
      </c>
      <c r="B229">
        <v>2</v>
      </c>
      <c r="C229" t="s">
        <v>27</v>
      </c>
      <c r="D229">
        <v>2</v>
      </c>
      <c r="E229">
        <v>0.64700000000000002</v>
      </c>
      <c r="F229">
        <v>30</v>
      </c>
      <c r="G229">
        <v>0.38</v>
      </c>
      <c r="L229">
        <v>3.57</v>
      </c>
      <c r="O229">
        <v>5</v>
      </c>
    </row>
    <row r="230" spans="1:15" x14ac:dyDescent="0.2">
      <c r="A230" t="s">
        <v>26</v>
      </c>
      <c r="B230">
        <v>2</v>
      </c>
      <c r="C230" t="s">
        <v>27</v>
      </c>
      <c r="D230">
        <v>3</v>
      </c>
      <c r="E230">
        <v>0.67900000000000005</v>
      </c>
      <c r="F230">
        <v>13</v>
      </c>
      <c r="G230">
        <v>0.55000000000000004</v>
      </c>
      <c r="L230">
        <v>3.57</v>
      </c>
      <c r="O230">
        <v>5</v>
      </c>
    </row>
    <row r="231" spans="1:15" x14ac:dyDescent="0.2">
      <c r="A231" t="s">
        <v>26</v>
      </c>
      <c r="B231">
        <v>2</v>
      </c>
      <c r="C231" t="s">
        <v>27</v>
      </c>
      <c r="D231">
        <v>4</v>
      </c>
      <c r="E231">
        <v>0.76200000000000001</v>
      </c>
      <c r="F231">
        <v>32</v>
      </c>
      <c r="G231">
        <v>0.81</v>
      </c>
      <c r="L231">
        <v>3.57</v>
      </c>
      <c r="O231">
        <v>5</v>
      </c>
    </row>
    <row r="232" spans="1:15" x14ac:dyDescent="0.2">
      <c r="A232" t="s">
        <v>26</v>
      </c>
      <c r="B232">
        <v>2</v>
      </c>
      <c r="C232" t="s">
        <v>27</v>
      </c>
      <c r="D232">
        <v>5</v>
      </c>
      <c r="E232">
        <v>0.57599999999999996</v>
      </c>
      <c r="F232">
        <v>27.6</v>
      </c>
      <c r="G232">
        <v>0.28999999999999998</v>
      </c>
      <c r="L232">
        <v>3.57</v>
      </c>
      <c r="O232">
        <v>5</v>
      </c>
    </row>
    <row r="233" spans="1:15" x14ac:dyDescent="0.2">
      <c r="A233" t="s">
        <v>26</v>
      </c>
      <c r="B233">
        <v>2</v>
      </c>
      <c r="C233" t="s">
        <v>27</v>
      </c>
      <c r="D233">
        <v>6</v>
      </c>
      <c r="E233">
        <v>0.83899999999999997</v>
      </c>
      <c r="F233">
        <v>31.4</v>
      </c>
      <c r="G233">
        <v>0.46</v>
      </c>
      <c r="L233">
        <v>3.57</v>
      </c>
      <c r="O233">
        <v>5</v>
      </c>
    </row>
    <row r="234" spans="1:15" x14ac:dyDescent="0.2">
      <c r="A234" t="s">
        <v>26</v>
      </c>
      <c r="B234">
        <v>2</v>
      </c>
      <c r="C234" t="s">
        <v>27</v>
      </c>
      <c r="D234">
        <v>7</v>
      </c>
      <c r="E234">
        <v>0.54400000000000004</v>
      </c>
      <c r="F234">
        <v>12.1</v>
      </c>
      <c r="G234">
        <v>0.24</v>
      </c>
      <c r="L234">
        <v>3.57</v>
      </c>
      <c r="O234">
        <v>5</v>
      </c>
    </row>
    <row r="235" spans="1:15" x14ac:dyDescent="0.2">
      <c r="A235" t="s">
        <v>26</v>
      </c>
      <c r="B235">
        <v>2</v>
      </c>
      <c r="C235" t="s">
        <v>27</v>
      </c>
      <c r="D235">
        <v>8</v>
      </c>
      <c r="E235">
        <v>0.54200000000000004</v>
      </c>
      <c r="F235">
        <v>34.299999999999997</v>
      </c>
      <c r="G235">
        <v>0.35</v>
      </c>
      <c r="L235">
        <v>3.57</v>
      </c>
      <c r="O235">
        <v>5</v>
      </c>
    </row>
    <row r="236" spans="1:15" x14ac:dyDescent="0.2">
      <c r="A236" t="s">
        <v>26</v>
      </c>
      <c r="B236">
        <v>2</v>
      </c>
      <c r="C236" t="s">
        <v>27</v>
      </c>
      <c r="D236">
        <v>9</v>
      </c>
      <c r="E236">
        <v>0.53300000000000003</v>
      </c>
      <c r="F236">
        <v>29.5</v>
      </c>
      <c r="G236">
        <v>0.27</v>
      </c>
      <c r="L236">
        <v>3.57</v>
      </c>
      <c r="O236">
        <v>5</v>
      </c>
    </row>
    <row r="237" spans="1:15" x14ac:dyDescent="0.2">
      <c r="A237" t="s">
        <v>26</v>
      </c>
      <c r="B237">
        <v>3</v>
      </c>
      <c r="C237" t="s">
        <v>31</v>
      </c>
      <c r="D237">
        <v>1</v>
      </c>
      <c r="E237">
        <v>0.41199999999999998</v>
      </c>
      <c r="F237">
        <v>2.7</v>
      </c>
      <c r="G237">
        <v>2.16</v>
      </c>
      <c r="L237">
        <v>0.59</v>
      </c>
      <c r="O237">
        <v>50</v>
      </c>
    </row>
    <row r="238" spans="1:15" x14ac:dyDescent="0.2">
      <c r="A238" t="s">
        <v>26</v>
      </c>
      <c r="B238">
        <v>3</v>
      </c>
      <c r="C238" t="s">
        <v>31</v>
      </c>
      <c r="D238">
        <v>2</v>
      </c>
      <c r="E238">
        <v>0.36099999999999999</v>
      </c>
      <c r="F238">
        <v>1.8</v>
      </c>
      <c r="G238">
        <v>2.12</v>
      </c>
      <c r="L238">
        <v>0.59</v>
      </c>
      <c r="O238">
        <v>50</v>
      </c>
    </row>
    <row r="239" spans="1:15" x14ac:dyDescent="0.2">
      <c r="A239" t="s">
        <v>26</v>
      </c>
      <c r="B239">
        <v>3</v>
      </c>
      <c r="C239" t="s">
        <v>31</v>
      </c>
      <c r="D239">
        <v>3</v>
      </c>
      <c r="E239">
        <v>0.47199999999999998</v>
      </c>
      <c r="F239">
        <v>37.6</v>
      </c>
      <c r="G239">
        <v>4.01</v>
      </c>
      <c r="L239">
        <v>0.59</v>
      </c>
      <c r="O239">
        <v>50</v>
      </c>
    </row>
    <row r="240" spans="1:15" x14ac:dyDescent="0.2">
      <c r="A240" t="s">
        <v>26</v>
      </c>
      <c r="B240">
        <v>3</v>
      </c>
      <c r="C240" t="s">
        <v>31</v>
      </c>
      <c r="D240">
        <v>4</v>
      </c>
      <c r="E240">
        <v>0.39500000000000002</v>
      </c>
      <c r="F240">
        <v>29.4</v>
      </c>
      <c r="G240">
        <v>2.46</v>
      </c>
      <c r="L240">
        <v>0.59</v>
      </c>
      <c r="O240">
        <v>50</v>
      </c>
    </row>
    <row r="241" spans="1:15" x14ac:dyDescent="0.2">
      <c r="A241" t="s">
        <v>26</v>
      </c>
      <c r="B241">
        <v>3</v>
      </c>
      <c r="C241" t="s">
        <v>31</v>
      </c>
      <c r="D241">
        <v>5</v>
      </c>
      <c r="E241">
        <v>0.433</v>
      </c>
      <c r="F241">
        <v>17.2</v>
      </c>
      <c r="G241">
        <v>4.68</v>
      </c>
      <c r="L241">
        <v>0.59</v>
      </c>
      <c r="O241">
        <v>50</v>
      </c>
    </row>
    <row r="242" spans="1:15" x14ac:dyDescent="0.2">
      <c r="A242" t="s">
        <v>26</v>
      </c>
      <c r="B242">
        <v>3</v>
      </c>
      <c r="C242" t="s">
        <v>31</v>
      </c>
      <c r="D242">
        <v>6</v>
      </c>
      <c r="E242">
        <v>0.29099999999999998</v>
      </c>
      <c r="F242">
        <v>15.6</v>
      </c>
      <c r="G242">
        <v>2.04</v>
      </c>
      <c r="L242">
        <v>0.59</v>
      </c>
      <c r="O242">
        <v>50</v>
      </c>
    </row>
    <row r="243" spans="1:15" x14ac:dyDescent="0.2">
      <c r="A243" t="s">
        <v>26</v>
      </c>
      <c r="B243">
        <v>3</v>
      </c>
      <c r="C243" t="s">
        <v>31</v>
      </c>
      <c r="D243">
        <v>7</v>
      </c>
      <c r="E243">
        <v>0.33400000000000002</v>
      </c>
      <c r="F243">
        <v>118.3</v>
      </c>
      <c r="G243">
        <v>4.2699999999999996</v>
      </c>
      <c r="L243">
        <v>0.59</v>
      </c>
      <c r="O243">
        <v>50</v>
      </c>
    </row>
    <row r="244" spans="1:15" x14ac:dyDescent="0.2">
      <c r="A244" t="s">
        <v>26</v>
      </c>
      <c r="B244">
        <v>3</v>
      </c>
      <c r="C244" t="s">
        <v>31</v>
      </c>
      <c r="D244">
        <v>8</v>
      </c>
      <c r="E244">
        <v>0.35499999999999998</v>
      </c>
      <c r="F244">
        <v>31.1</v>
      </c>
      <c r="G244">
        <v>1.23</v>
      </c>
      <c r="L244">
        <v>0.59</v>
      </c>
      <c r="O244">
        <v>50</v>
      </c>
    </row>
    <row r="245" spans="1:15" x14ac:dyDescent="0.2">
      <c r="A245" t="s">
        <v>26</v>
      </c>
      <c r="B245">
        <v>3</v>
      </c>
      <c r="C245" t="s">
        <v>31</v>
      </c>
      <c r="D245">
        <v>9</v>
      </c>
      <c r="E245">
        <v>0.29799999999999999</v>
      </c>
      <c r="F245">
        <v>30.8</v>
      </c>
      <c r="G245">
        <v>1.76</v>
      </c>
      <c r="L245">
        <v>0.59</v>
      </c>
      <c r="O245">
        <v>50</v>
      </c>
    </row>
    <row r="246" spans="1:15" x14ac:dyDescent="0.2">
      <c r="A246" t="s">
        <v>26</v>
      </c>
      <c r="B246">
        <v>3</v>
      </c>
      <c r="C246" t="s">
        <v>30</v>
      </c>
      <c r="D246">
        <v>1</v>
      </c>
      <c r="E246">
        <v>0.63600000000000001</v>
      </c>
      <c r="F246">
        <v>30.4</v>
      </c>
      <c r="G246">
        <v>0.11</v>
      </c>
      <c r="L246">
        <v>0.59</v>
      </c>
      <c r="O246">
        <v>65</v>
      </c>
    </row>
    <row r="247" spans="1:15" x14ac:dyDescent="0.2">
      <c r="A247" t="s">
        <v>26</v>
      </c>
      <c r="B247">
        <v>3</v>
      </c>
      <c r="C247" t="s">
        <v>30</v>
      </c>
      <c r="D247">
        <v>2</v>
      </c>
      <c r="E247">
        <v>0.5</v>
      </c>
      <c r="F247">
        <v>30.8</v>
      </c>
      <c r="G247">
        <v>0.06</v>
      </c>
      <c r="L247">
        <v>0.59</v>
      </c>
      <c r="O247">
        <v>65</v>
      </c>
    </row>
    <row r="248" spans="1:15" x14ac:dyDescent="0.2">
      <c r="A248" t="s">
        <v>26</v>
      </c>
      <c r="B248">
        <v>3</v>
      </c>
      <c r="C248" t="s">
        <v>30</v>
      </c>
      <c r="D248">
        <v>3</v>
      </c>
      <c r="E248">
        <v>0.78</v>
      </c>
      <c r="F248">
        <v>25.6</v>
      </c>
      <c r="G248">
        <v>0.12</v>
      </c>
      <c r="L248">
        <v>0.59</v>
      </c>
      <c r="O248">
        <v>65</v>
      </c>
    </row>
    <row r="249" spans="1:15" x14ac:dyDescent="0.2">
      <c r="A249" t="s">
        <v>26</v>
      </c>
      <c r="B249">
        <v>3</v>
      </c>
      <c r="C249" t="s">
        <v>30</v>
      </c>
      <c r="D249">
        <v>4</v>
      </c>
      <c r="E249">
        <v>0.69499999999999995</v>
      </c>
      <c r="F249">
        <v>28.9</v>
      </c>
      <c r="G249">
        <v>0.09</v>
      </c>
      <c r="L249">
        <v>0.59</v>
      </c>
      <c r="O249">
        <v>65</v>
      </c>
    </row>
    <row r="250" spans="1:15" x14ac:dyDescent="0.2">
      <c r="A250" t="s">
        <v>26</v>
      </c>
      <c r="B250">
        <v>3</v>
      </c>
      <c r="C250" t="s">
        <v>30</v>
      </c>
      <c r="D250">
        <v>5</v>
      </c>
      <c r="E250">
        <v>0.72899999999999998</v>
      </c>
      <c r="F250">
        <v>34.1</v>
      </c>
      <c r="G250">
        <v>0.13</v>
      </c>
      <c r="L250">
        <v>0.59</v>
      </c>
      <c r="O250">
        <v>65</v>
      </c>
    </row>
    <row r="251" spans="1:15" x14ac:dyDescent="0.2">
      <c r="A251" t="s">
        <v>26</v>
      </c>
      <c r="B251">
        <v>3</v>
      </c>
      <c r="C251" t="s">
        <v>30</v>
      </c>
      <c r="D251">
        <v>6</v>
      </c>
      <c r="E251">
        <v>0.44500000000000001</v>
      </c>
      <c r="F251">
        <v>35.200000000000003</v>
      </c>
      <c r="G251">
        <v>0.08</v>
      </c>
      <c r="L251">
        <v>0.59</v>
      </c>
      <c r="O251">
        <v>65</v>
      </c>
    </row>
    <row r="252" spans="1:15" x14ac:dyDescent="0.2">
      <c r="A252" t="s">
        <v>26</v>
      </c>
      <c r="B252">
        <v>3</v>
      </c>
      <c r="C252" t="s">
        <v>30</v>
      </c>
      <c r="D252">
        <v>7</v>
      </c>
      <c r="E252">
        <v>0.63600000000000001</v>
      </c>
      <c r="F252">
        <v>36.4</v>
      </c>
      <c r="G252">
        <v>0.09</v>
      </c>
      <c r="L252">
        <v>0.59</v>
      </c>
      <c r="O252">
        <v>65</v>
      </c>
    </row>
    <row r="253" spans="1:15" x14ac:dyDescent="0.2">
      <c r="A253" t="s">
        <v>26</v>
      </c>
      <c r="B253">
        <v>3</v>
      </c>
      <c r="C253" t="s">
        <v>30</v>
      </c>
      <c r="D253">
        <v>8</v>
      </c>
      <c r="E253">
        <v>0.65400000000000003</v>
      </c>
      <c r="F253">
        <v>39.5</v>
      </c>
      <c r="G253">
        <v>0.06</v>
      </c>
      <c r="L253">
        <v>0.59</v>
      </c>
      <c r="O253">
        <v>65</v>
      </c>
    </row>
    <row r="254" spans="1:15" x14ac:dyDescent="0.2">
      <c r="A254" t="s">
        <v>26</v>
      </c>
      <c r="B254">
        <v>3</v>
      </c>
      <c r="C254" t="s">
        <v>30</v>
      </c>
      <c r="D254">
        <v>9</v>
      </c>
      <c r="E254">
        <v>0.51400000000000001</v>
      </c>
      <c r="F254">
        <v>33</v>
      </c>
      <c r="G254">
        <v>0.06</v>
      </c>
      <c r="L254">
        <v>0.59</v>
      </c>
      <c r="O254">
        <v>65</v>
      </c>
    </row>
    <row r="255" spans="1:15" x14ac:dyDescent="0.2">
      <c r="A255" t="s">
        <v>26</v>
      </c>
      <c r="B255">
        <v>3</v>
      </c>
      <c r="C255" t="s">
        <v>32</v>
      </c>
      <c r="D255">
        <v>1</v>
      </c>
      <c r="E255">
        <v>0.316</v>
      </c>
      <c r="F255">
        <v>14.1</v>
      </c>
      <c r="G255">
        <v>1.08</v>
      </c>
      <c r="L255">
        <v>0.59</v>
      </c>
      <c r="O255">
        <v>5</v>
      </c>
    </row>
    <row r="256" spans="1:15" x14ac:dyDescent="0.2">
      <c r="A256" t="s">
        <v>26</v>
      </c>
      <c r="B256">
        <v>3</v>
      </c>
      <c r="C256" t="s">
        <v>32</v>
      </c>
      <c r="D256">
        <v>2</v>
      </c>
      <c r="E256">
        <v>0.28699999999999998</v>
      </c>
      <c r="F256">
        <v>60.5</v>
      </c>
      <c r="G256">
        <v>0.9</v>
      </c>
      <c r="L256">
        <v>0.59</v>
      </c>
      <c r="O256">
        <v>5</v>
      </c>
    </row>
    <row r="257" spans="1:15" x14ac:dyDescent="0.2">
      <c r="A257" t="s">
        <v>26</v>
      </c>
      <c r="B257">
        <v>3</v>
      </c>
      <c r="C257" t="s">
        <v>32</v>
      </c>
      <c r="D257">
        <v>3</v>
      </c>
      <c r="E257">
        <v>0.25800000000000001</v>
      </c>
      <c r="F257">
        <v>26</v>
      </c>
      <c r="G257">
        <v>1.02</v>
      </c>
      <c r="L257">
        <v>0.59</v>
      </c>
      <c r="O257">
        <v>5</v>
      </c>
    </row>
    <row r="258" spans="1:15" x14ac:dyDescent="0.2">
      <c r="A258" t="s">
        <v>26</v>
      </c>
      <c r="B258">
        <v>3</v>
      </c>
      <c r="C258" t="s">
        <v>32</v>
      </c>
      <c r="D258">
        <v>4</v>
      </c>
      <c r="E258">
        <v>0.26900000000000002</v>
      </c>
      <c r="F258">
        <v>30.2</v>
      </c>
      <c r="G258">
        <v>1.03</v>
      </c>
      <c r="L258">
        <v>0.59</v>
      </c>
      <c r="O258">
        <v>5</v>
      </c>
    </row>
    <row r="259" spans="1:15" x14ac:dyDescent="0.2">
      <c r="A259" t="s">
        <v>26</v>
      </c>
      <c r="B259">
        <v>3</v>
      </c>
      <c r="C259" t="s">
        <v>32</v>
      </c>
      <c r="D259">
        <v>5</v>
      </c>
      <c r="E259">
        <v>0.26300000000000001</v>
      </c>
      <c r="F259">
        <v>29</v>
      </c>
      <c r="G259">
        <v>1.18</v>
      </c>
      <c r="L259">
        <v>0.59</v>
      </c>
      <c r="O259">
        <v>5</v>
      </c>
    </row>
    <row r="260" spans="1:15" x14ac:dyDescent="0.2">
      <c r="A260" t="s">
        <v>26</v>
      </c>
      <c r="B260">
        <v>3</v>
      </c>
      <c r="C260" t="s">
        <v>32</v>
      </c>
      <c r="D260">
        <v>6</v>
      </c>
      <c r="E260">
        <v>0.218</v>
      </c>
      <c r="F260">
        <v>19.399999999999999</v>
      </c>
      <c r="G260">
        <v>0.8</v>
      </c>
      <c r="L260">
        <v>0.59</v>
      </c>
      <c r="O260">
        <v>5</v>
      </c>
    </row>
    <row r="261" spans="1:15" x14ac:dyDescent="0.2">
      <c r="A261" t="s">
        <v>26</v>
      </c>
      <c r="B261">
        <v>3</v>
      </c>
      <c r="C261" t="s">
        <v>32</v>
      </c>
      <c r="D261">
        <v>7</v>
      </c>
      <c r="E261">
        <v>0.28499999999999998</v>
      </c>
      <c r="F261">
        <v>17.3</v>
      </c>
      <c r="G261">
        <v>1.1200000000000001</v>
      </c>
      <c r="L261">
        <v>0.59</v>
      </c>
      <c r="O261">
        <v>5</v>
      </c>
    </row>
    <row r="262" spans="1:15" x14ac:dyDescent="0.2">
      <c r="A262" t="s">
        <v>26</v>
      </c>
      <c r="B262">
        <v>3</v>
      </c>
      <c r="C262" t="s">
        <v>32</v>
      </c>
      <c r="D262">
        <v>8</v>
      </c>
      <c r="E262">
        <v>0.29899999999999999</v>
      </c>
      <c r="F262">
        <v>10.8</v>
      </c>
      <c r="G262">
        <v>0.72</v>
      </c>
      <c r="L262">
        <v>0.59</v>
      </c>
      <c r="O262">
        <v>5</v>
      </c>
    </row>
    <row r="263" spans="1:15" x14ac:dyDescent="0.2">
      <c r="A263" t="s">
        <v>26</v>
      </c>
      <c r="B263">
        <v>3</v>
      </c>
      <c r="C263" t="s">
        <v>32</v>
      </c>
      <c r="D263">
        <v>9</v>
      </c>
      <c r="E263">
        <v>0.29499999999999998</v>
      </c>
      <c r="F263">
        <v>23.6</v>
      </c>
      <c r="G263">
        <v>0.78</v>
      </c>
      <c r="L263">
        <v>0.59</v>
      </c>
      <c r="O263">
        <v>5</v>
      </c>
    </row>
    <row r="264" spans="1:15" x14ac:dyDescent="0.2">
      <c r="A264" t="s">
        <v>26</v>
      </c>
      <c r="B264">
        <v>4</v>
      </c>
      <c r="C264" t="s">
        <v>31</v>
      </c>
      <c r="D264">
        <v>1</v>
      </c>
      <c r="E264">
        <v>0.44800000000000001</v>
      </c>
      <c r="F264">
        <v>16</v>
      </c>
      <c r="G264">
        <v>1.83</v>
      </c>
      <c r="L264">
        <v>5.5E-2</v>
      </c>
      <c r="O264">
        <v>20</v>
      </c>
    </row>
    <row r="265" spans="1:15" x14ac:dyDescent="0.2">
      <c r="A265" t="s">
        <v>26</v>
      </c>
      <c r="B265">
        <v>4</v>
      </c>
      <c r="C265" t="s">
        <v>31</v>
      </c>
      <c r="D265">
        <v>2</v>
      </c>
      <c r="E265">
        <v>0.27900000000000003</v>
      </c>
      <c r="F265">
        <v>7.5</v>
      </c>
      <c r="G265">
        <v>1.28</v>
      </c>
      <c r="L265">
        <v>5.5E-2</v>
      </c>
      <c r="O265">
        <v>20</v>
      </c>
    </row>
    <row r="266" spans="1:15" x14ac:dyDescent="0.2">
      <c r="A266" t="s">
        <v>26</v>
      </c>
      <c r="B266">
        <v>4</v>
      </c>
      <c r="C266" t="s">
        <v>31</v>
      </c>
      <c r="D266">
        <v>3</v>
      </c>
      <c r="E266">
        <v>0.33600000000000002</v>
      </c>
      <c r="F266">
        <v>10.5</v>
      </c>
      <c r="G266">
        <v>1.0900000000000001</v>
      </c>
      <c r="L266">
        <v>5.5E-2</v>
      </c>
      <c r="O266">
        <v>20</v>
      </c>
    </row>
    <row r="267" spans="1:15" x14ac:dyDescent="0.2">
      <c r="A267" t="s">
        <v>26</v>
      </c>
      <c r="B267">
        <v>4</v>
      </c>
      <c r="C267" t="s">
        <v>31</v>
      </c>
      <c r="D267">
        <v>4</v>
      </c>
      <c r="E267">
        <v>0.36399999999999999</v>
      </c>
      <c r="F267">
        <v>9</v>
      </c>
      <c r="G267">
        <v>0.66</v>
      </c>
      <c r="L267">
        <v>5.5E-2</v>
      </c>
      <c r="O267">
        <v>20</v>
      </c>
    </row>
    <row r="268" spans="1:15" x14ac:dyDescent="0.2">
      <c r="A268" t="s">
        <v>26</v>
      </c>
      <c r="B268">
        <v>4</v>
      </c>
      <c r="C268" t="s">
        <v>31</v>
      </c>
      <c r="D268">
        <v>5</v>
      </c>
      <c r="E268">
        <v>0.35899999999999999</v>
      </c>
      <c r="F268">
        <v>12</v>
      </c>
      <c r="G268">
        <v>1.42</v>
      </c>
      <c r="L268">
        <v>5.5E-2</v>
      </c>
      <c r="O268">
        <v>20</v>
      </c>
    </row>
    <row r="269" spans="1:15" x14ac:dyDescent="0.2">
      <c r="A269" t="s">
        <v>26</v>
      </c>
      <c r="B269">
        <v>4</v>
      </c>
      <c r="C269" t="s">
        <v>31</v>
      </c>
      <c r="D269">
        <v>6</v>
      </c>
      <c r="E269">
        <v>0.29799999999999999</v>
      </c>
      <c r="F269">
        <v>17.5</v>
      </c>
      <c r="G269">
        <v>2.0299999999999998</v>
      </c>
      <c r="L269">
        <v>5.5E-2</v>
      </c>
      <c r="O269">
        <v>20</v>
      </c>
    </row>
    <row r="270" spans="1:15" x14ac:dyDescent="0.2">
      <c r="A270" t="s">
        <v>26</v>
      </c>
      <c r="B270">
        <v>4</v>
      </c>
      <c r="C270" t="s">
        <v>31</v>
      </c>
      <c r="D270">
        <v>7</v>
      </c>
      <c r="E270">
        <v>0.317</v>
      </c>
      <c r="F270">
        <v>11</v>
      </c>
      <c r="G270">
        <v>1.19</v>
      </c>
      <c r="L270">
        <v>5.5E-2</v>
      </c>
      <c r="O270">
        <v>20</v>
      </c>
    </row>
    <row r="271" spans="1:15" x14ac:dyDescent="0.2">
      <c r="A271" t="s">
        <v>26</v>
      </c>
      <c r="B271">
        <v>4</v>
      </c>
      <c r="C271" t="s">
        <v>31</v>
      </c>
      <c r="D271">
        <v>8</v>
      </c>
      <c r="E271">
        <v>0.4</v>
      </c>
      <c r="F271">
        <v>12</v>
      </c>
      <c r="G271">
        <v>1.92</v>
      </c>
      <c r="L271">
        <v>5.5E-2</v>
      </c>
      <c r="O271">
        <v>20</v>
      </c>
    </row>
    <row r="272" spans="1:15" x14ac:dyDescent="0.2">
      <c r="A272" t="s">
        <v>26</v>
      </c>
      <c r="B272">
        <v>4</v>
      </c>
      <c r="C272" t="s">
        <v>31</v>
      </c>
      <c r="D272">
        <v>9</v>
      </c>
      <c r="E272">
        <v>0.27600000000000002</v>
      </c>
      <c r="F272">
        <v>14</v>
      </c>
      <c r="G272">
        <v>1.01</v>
      </c>
      <c r="L272">
        <v>5.5E-2</v>
      </c>
      <c r="O272">
        <v>20</v>
      </c>
    </row>
    <row r="273" spans="1:15" x14ac:dyDescent="0.2">
      <c r="A273" t="s">
        <v>26</v>
      </c>
      <c r="B273">
        <v>4</v>
      </c>
      <c r="C273" t="s">
        <v>30</v>
      </c>
      <c r="D273">
        <v>1</v>
      </c>
      <c r="E273">
        <v>0.42699999999999999</v>
      </c>
      <c r="F273">
        <v>26.5</v>
      </c>
      <c r="G273">
        <v>0.06</v>
      </c>
      <c r="L273">
        <v>5.5E-2</v>
      </c>
      <c r="O273">
        <v>65</v>
      </c>
    </row>
    <row r="274" spans="1:15" x14ac:dyDescent="0.2">
      <c r="A274" t="s">
        <v>26</v>
      </c>
      <c r="B274">
        <v>4</v>
      </c>
      <c r="C274" t="s">
        <v>30</v>
      </c>
      <c r="D274">
        <v>2</v>
      </c>
      <c r="E274">
        <v>0.41499999999999998</v>
      </c>
      <c r="F274">
        <v>24</v>
      </c>
      <c r="G274">
        <v>0.13</v>
      </c>
      <c r="L274">
        <v>5.5E-2</v>
      </c>
      <c r="O274">
        <v>65</v>
      </c>
    </row>
    <row r="275" spans="1:15" x14ac:dyDescent="0.2">
      <c r="A275" t="s">
        <v>26</v>
      </c>
      <c r="B275">
        <v>4</v>
      </c>
      <c r="C275" t="s">
        <v>30</v>
      </c>
      <c r="D275">
        <v>3</v>
      </c>
      <c r="E275">
        <v>0.48699999999999999</v>
      </c>
      <c r="F275">
        <v>23.5</v>
      </c>
      <c r="G275">
        <v>0.1</v>
      </c>
      <c r="L275">
        <v>5.5E-2</v>
      </c>
      <c r="O275">
        <v>65</v>
      </c>
    </row>
    <row r="276" spans="1:15" x14ac:dyDescent="0.2">
      <c r="A276" t="s">
        <v>26</v>
      </c>
      <c r="B276">
        <v>4</v>
      </c>
      <c r="C276" t="s">
        <v>30</v>
      </c>
      <c r="D276">
        <v>4</v>
      </c>
      <c r="E276">
        <v>0.48899999999999999</v>
      </c>
      <c r="F276">
        <v>43</v>
      </c>
      <c r="G276">
        <v>0.14000000000000001</v>
      </c>
      <c r="L276">
        <v>5.5E-2</v>
      </c>
      <c r="O276">
        <v>65</v>
      </c>
    </row>
    <row r="277" spans="1:15" x14ac:dyDescent="0.2">
      <c r="A277" t="s">
        <v>26</v>
      </c>
      <c r="B277">
        <v>4</v>
      </c>
      <c r="C277" t="s">
        <v>30</v>
      </c>
      <c r="D277">
        <v>5</v>
      </c>
      <c r="E277">
        <v>0.60899999999999999</v>
      </c>
      <c r="F277">
        <v>17.5</v>
      </c>
      <c r="G277">
        <v>0.1</v>
      </c>
      <c r="L277">
        <v>5.5E-2</v>
      </c>
      <c r="O277">
        <v>65</v>
      </c>
    </row>
    <row r="278" spans="1:15" x14ac:dyDescent="0.2">
      <c r="A278" t="s">
        <v>26</v>
      </c>
      <c r="B278">
        <v>4</v>
      </c>
      <c r="C278" t="s">
        <v>30</v>
      </c>
      <c r="D278">
        <v>6</v>
      </c>
      <c r="E278">
        <v>0.75800000000000001</v>
      </c>
      <c r="F278">
        <v>13</v>
      </c>
      <c r="G278">
        <v>0.17</v>
      </c>
      <c r="L278">
        <v>5.5E-2</v>
      </c>
      <c r="O278">
        <v>65</v>
      </c>
    </row>
    <row r="279" spans="1:15" x14ac:dyDescent="0.2">
      <c r="A279" t="s">
        <v>26</v>
      </c>
      <c r="B279">
        <v>4</v>
      </c>
      <c r="C279" t="s">
        <v>30</v>
      </c>
      <c r="D279">
        <v>7</v>
      </c>
      <c r="E279">
        <v>0.59199999999999997</v>
      </c>
      <c r="F279">
        <v>19</v>
      </c>
      <c r="G279">
        <v>0.13</v>
      </c>
      <c r="L279">
        <v>5.5E-2</v>
      </c>
      <c r="O279">
        <v>65</v>
      </c>
    </row>
    <row r="280" spans="1:15" x14ac:dyDescent="0.2">
      <c r="A280" t="s">
        <v>26</v>
      </c>
      <c r="B280">
        <v>4</v>
      </c>
      <c r="C280" t="s">
        <v>30</v>
      </c>
      <c r="D280">
        <v>8</v>
      </c>
      <c r="E280">
        <v>0.59699999999999998</v>
      </c>
      <c r="F280">
        <v>23</v>
      </c>
      <c r="G280">
        <v>0.13</v>
      </c>
      <c r="L280">
        <v>5.5E-2</v>
      </c>
      <c r="O280">
        <v>65</v>
      </c>
    </row>
    <row r="281" spans="1:15" x14ac:dyDescent="0.2">
      <c r="A281" t="s">
        <v>26</v>
      </c>
      <c r="B281">
        <v>4</v>
      </c>
      <c r="C281" t="s">
        <v>30</v>
      </c>
      <c r="D281">
        <v>9</v>
      </c>
      <c r="E281">
        <v>0.86699999999999999</v>
      </c>
      <c r="F281">
        <v>23.5</v>
      </c>
      <c r="G281">
        <v>0.18</v>
      </c>
      <c r="L281">
        <v>5.5E-2</v>
      </c>
      <c r="O281">
        <v>65</v>
      </c>
    </row>
    <row r="282" spans="1:15" x14ac:dyDescent="0.2">
      <c r="A282" t="s">
        <v>26</v>
      </c>
      <c r="B282">
        <v>4</v>
      </c>
      <c r="C282" t="s">
        <v>34</v>
      </c>
      <c r="D282">
        <v>1</v>
      </c>
      <c r="E282">
        <v>0.41699999999999998</v>
      </c>
      <c r="F282">
        <v>35.5</v>
      </c>
      <c r="G282">
        <v>0.63</v>
      </c>
      <c r="L282">
        <v>5.5E-2</v>
      </c>
      <c r="O282">
        <v>1</v>
      </c>
    </row>
    <row r="283" spans="1:15" x14ac:dyDescent="0.2">
      <c r="A283" t="s">
        <v>26</v>
      </c>
      <c r="B283">
        <v>4</v>
      </c>
      <c r="C283" t="s">
        <v>34</v>
      </c>
      <c r="D283">
        <v>2</v>
      </c>
      <c r="E283">
        <v>0.33</v>
      </c>
      <c r="F283">
        <v>33.700000000000003</v>
      </c>
      <c r="G283">
        <v>0.59</v>
      </c>
      <c r="L283">
        <v>5.5E-2</v>
      </c>
      <c r="O283">
        <v>1</v>
      </c>
    </row>
    <row r="284" spans="1:15" x14ac:dyDescent="0.2">
      <c r="A284" t="s">
        <v>26</v>
      </c>
      <c r="B284">
        <v>4</v>
      </c>
      <c r="C284" t="s">
        <v>34</v>
      </c>
      <c r="D284">
        <v>3</v>
      </c>
      <c r="E284">
        <v>0.38100000000000001</v>
      </c>
      <c r="F284">
        <v>37.200000000000003</v>
      </c>
      <c r="G284">
        <v>0.37</v>
      </c>
      <c r="L284">
        <v>5.5E-2</v>
      </c>
      <c r="O284">
        <v>1</v>
      </c>
    </row>
    <row r="285" spans="1:15" x14ac:dyDescent="0.2">
      <c r="A285" t="s">
        <v>26</v>
      </c>
      <c r="B285">
        <v>4</v>
      </c>
      <c r="C285" t="s">
        <v>34</v>
      </c>
      <c r="D285">
        <v>4</v>
      </c>
      <c r="E285">
        <v>0.38300000000000001</v>
      </c>
      <c r="F285">
        <v>34.4</v>
      </c>
      <c r="G285">
        <v>0.71</v>
      </c>
      <c r="L285">
        <v>5.5E-2</v>
      </c>
      <c r="O285">
        <v>1</v>
      </c>
    </row>
    <row r="286" spans="1:15" x14ac:dyDescent="0.2">
      <c r="A286" t="s">
        <v>26</v>
      </c>
      <c r="B286">
        <v>4</v>
      </c>
      <c r="C286" t="s">
        <v>34</v>
      </c>
      <c r="D286">
        <v>5</v>
      </c>
      <c r="E286">
        <v>0.38300000000000001</v>
      </c>
      <c r="F286">
        <v>38.6</v>
      </c>
      <c r="G286">
        <v>0.84</v>
      </c>
      <c r="L286">
        <v>5.5E-2</v>
      </c>
      <c r="O286">
        <v>1</v>
      </c>
    </row>
    <row r="287" spans="1:15" x14ac:dyDescent="0.2">
      <c r="A287" t="s">
        <v>26</v>
      </c>
      <c r="B287">
        <v>4</v>
      </c>
      <c r="C287" t="s">
        <v>34</v>
      </c>
      <c r="D287">
        <v>6</v>
      </c>
      <c r="E287">
        <v>0.38600000000000001</v>
      </c>
      <c r="F287">
        <v>32.5</v>
      </c>
      <c r="G287">
        <v>0.87</v>
      </c>
      <c r="L287">
        <v>5.5E-2</v>
      </c>
      <c r="O287">
        <v>1</v>
      </c>
    </row>
    <row r="288" spans="1:15" x14ac:dyDescent="0.2">
      <c r="A288" t="s">
        <v>26</v>
      </c>
      <c r="B288">
        <v>4</v>
      </c>
      <c r="C288" t="s">
        <v>34</v>
      </c>
      <c r="D288">
        <v>7</v>
      </c>
      <c r="E288">
        <v>0.34399999999999997</v>
      </c>
      <c r="F288">
        <v>36.299999999999997</v>
      </c>
      <c r="G288">
        <v>0.33</v>
      </c>
      <c r="L288">
        <v>5.5E-2</v>
      </c>
      <c r="O288">
        <v>1</v>
      </c>
    </row>
    <row r="289" spans="1:15" x14ac:dyDescent="0.2">
      <c r="A289" t="s">
        <v>26</v>
      </c>
      <c r="B289">
        <v>4</v>
      </c>
      <c r="C289" t="s">
        <v>34</v>
      </c>
      <c r="D289">
        <v>8</v>
      </c>
      <c r="E289">
        <v>0.377</v>
      </c>
      <c r="F289">
        <v>34</v>
      </c>
      <c r="G289">
        <v>0.46</v>
      </c>
      <c r="L289">
        <v>5.5E-2</v>
      </c>
      <c r="O289">
        <v>1</v>
      </c>
    </row>
    <row r="290" spans="1:15" x14ac:dyDescent="0.2">
      <c r="A290" t="s">
        <v>26</v>
      </c>
      <c r="B290">
        <v>4</v>
      </c>
      <c r="C290" t="s">
        <v>34</v>
      </c>
      <c r="D290">
        <v>9</v>
      </c>
      <c r="E290">
        <v>0.42199999999999999</v>
      </c>
      <c r="F290">
        <v>37.799999999999997</v>
      </c>
      <c r="G290">
        <v>0.44</v>
      </c>
      <c r="L290">
        <v>5.5E-2</v>
      </c>
      <c r="O290">
        <v>1</v>
      </c>
    </row>
    <row r="291" spans="1:15" x14ac:dyDescent="0.2">
      <c r="A291" t="s">
        <v>26</v>
      </c>
      <c r="B291">
        <v>4</v>
      </c>
      <c r="C291" t="s">
        <v>35</v>
      </c>
      <c r="D291">
        <v>1</v>
      </c>
      <c r="E291">
        <v>0.41499999999999998</v>
      </c>
      <c r="F291">
        <v>50</v>
      </c>
      <c r="G291">
        <v>0.26</v>
      </c>
      <c r="L291">
        <v>5.5E-2</v>
      </c>
      <c r="O291">
        <v>5</v>
      </c>
    </row>
    <row r="292" spans="1:15" x14ac:dyDescent="0.2">
      <c r="A292" t="s">
        <v>26</v>
      </c>
      <c r="B292">
        <v>4</v>
      </c>
      <c r="C292" t="s">
        <v>35</v>
      </c>
      <c r="D292">
        <v>2</v>
      </c>
      <c r="E292">
        <v>0.499</v>
      </c>
      <c r="F292">
        <v>75</v>
      </c>
      <c r="G292">
        <v>0.31</v>
      </c>
      <c r="L292">
        <v>5.5E-2</v>
      </c>
      <c r="O292">
        <v>5</v>
      </c>
    </row>
    <row r="293" spans="1:15" x14ac:dyDescent="0.2">
      <c r="A293" t="s">
        <v>26</v>
      </c>
      <c r="B293">
        <v>4</v>
      </c>
      <c r="C293" t="s">
        <v>35</v>
      </c>
      <c r="D293">
        <v>3</v>
      </c>
      <c r="E293">
        <v>0.52500000000000002</v>
      </c>
      <c r="F293">
        <v>47.6</v>
      </c>
      <c r="G293">
        <v>0.33</v>
      </c>
      <c r="L293">
        <v>5.5E-2</v>
      </c>
      <c r="O293">
        <v>5</v>
      </c>
    </row>
    <row r="294" spans="1:15" x14ac:dyDescent="0.2">
      <c r="A294" t="s">
        <v>26</v>
      </c>
      <c r="B294">
        <v>4</v>
      </c>
      <c r="C294" t="s">
        <v>35</v>
      </c>
      <c r="D294">
        <v>4</v>
      </c>
      <c r="E294">
        <v>0.39</v>
      </c>
      <c r="F294">
        <v>70.8</v>
      </c>
      <c r="G294">
        <v>0.19</v>
      </c>
      <c r="L294">
        <v>5.5E-2</v>
      </c>
      <c r="O294">
        <v>5</v>
      </c>
    </row>
    <row r="295" spans="1:15" x14ac:dyDescent="0.2">
      <c r="A295" t="s">
        <v>26</v>
      </c>
      <c r="B295">
        <v>4</v>
      </c>
      <c r="C295" t="s">
        <v>35</v>
      </c>
      <c r="D295">
        <v>5</v>
      </c>
      <c r="E295">
        <v>0.45700000000000002</v>
      </c>
      <c r="F295">
        <v>53.4</v>
      </c>
      <c r="G295">
        <v>0.34</v>
      </c>
      <c r="L295">
        <v>5.5E-2</v>
      </c>
      <c r="O295">
        <v>5</v>
      </c>
    </row>
    <row r="296" spans="1:15" x14ac:dyDescent="0.2">
      <c r="A296" t="s">
        <v>26</v>
      </c>
      <c r="B296">
        <v>4</v>
      </c>
      <c r="C296" t="s">
        <v>35</v>
      </c>
      <c r="D296">
        <v>6</v>
      </c>
      <c r="E296">
        <v>0.433</v>
      </c>
      <c r="F296">
        <v>80.2</v>
      </c>
      <c r="G296">
        <v>0.19</v>
      </c>
      <c r="L296">
        <v>5.5E-2</v>
      </c>
      <c r="O296">
        <v>5</v>
      </c>
    </row>
    <row r="297" spans="1:15" x14ac:dyDescent="0.2">
      <c r="A297" t="s">
        <v>26</v>
      </c>
      <c r="B297">
        <v>4</v>
      </c>
      <c r="C297" t="s">
        <v>35</v>
      </c>
      <c r="D297">
        <v>7</v>
      </c>
      <c r="E297">
        <v>0.40400000000000003</v>
      </c>
      <c r="F297">
        <v>48.9</v>
      </c>
      <c r="G297">
        <v>0.27</v>
      </c>
      <c r="L297">
        <v>5.5E-2</v>
      </c>
      <c r="O297">
        <v>5</v>
      </c>
    </row>
    <row r="298" spans="1:15" x14ac:dyDescent="0.2">
      <c r="A298" t="s">
        <v>26</v>
      </c>
      <c r="B298">
        <v>4</v>
      </c>
      <c r="C298" t="s">
        <v>35</v>
      </c>
      <c r="D298">
        <v>8</v>
      </c>
      <c r="E298">
        <v>0.47399999999999998</v>
      </c>
      <c r="F298">
        <v>73.099999999999994</v>
      </c>
      <c r="G298">
        <v>0.3</v>
      </c>
      <c r="L298">
        <v>5.5E-2</v>
      </c>
      <c r="O298">
        <v>5</v>
      </c>
    </row>
    <row r="299" spans="1:15" x14ac:dyDescent="0.2">
      <c r="A299" t="s">
        <v>26</v>
      </c>
      <c r="B299">
        <v>4</v>
      </c>
      <c r="C299" t="s">
        <v>35</v>
      </c>
      <c r="D299">
        <v>9</v>
      </c>
      <c r="E299">
        <v>0.38900000000000001</v>
      </c>
      <c r="F299">
        <v>55.6</v>
      </c>
      <c r="G299">
        <v>0.21</v>
      </c>
      <c r="L299">
        <v>5.5E-2</v>
      </c>
      <c r="O299">
        <v>5</v>
      </c>
    </row>
    <row r="300" spans="1:15" x14ac:dyDescent="0.2">
      <c r="A300" t="s">
        <v>36</v>
      </c>
      <c r="B300">
        <v>1</v>
      </c>
      <c r="C300" s="1" t="s">
        <v>37</v>
      </c>
      <c r="D300">
        <v>1</v>
      </c>
      <c r="E300">
        <v>0.77400000000000002</v>
      </c>
      <c r="F300">
        <v>11.73</v>
      </c>
      <c r="G300">
        <v>0.50600000000000001</v>
      </c>
      <c r="L300">
        <v>4</v>
      </c>
      <c r="O300">
        <v>25</v>
      </c>
    </row>
    <row r="301" spans="1:15" x14ac:dyDescent="0.2">
      <c r="A301" t="s">
        <v>36</v>
      </c>
      <c r="B301">
        <v>1</v>
      </c>
      <c r="C301" s="1" t="s">
        <v>37</v>
      </c>
      <c r="D301">
        <v>2</v>
      </c>
      <c r="E301">
        <v>1.081</v>
      </c>
      <c r="F301">
        <v>13.56</v>
      </c>
      <c r="G301">
        <v>0.70099999999999996</v>
      </c>
      <c r="L301">
        <v>4</v>
      </c>
      <c r="O301">
        <v>25</v>
      </c>
    </row>
    <row r="302" spans="1:15" x14ac:dyDescent="0.2">
      <c r="A302" t="s">
        <v>36</v>
      </c>
      <c r="B302">
        <v>1</v>
      </c>
      <c r="C302" s="1" t="s">
        <v>37</v>
      </c>
      <c r="D302">
        <v>3</v>
      </c>
      <c r="E302">
        <v>0.86099999999999999</v>
      </c>
      <c r="F302">
        <v>11.2</v>
      </c>
      <c r="G302">
        <v>0.51800000000000002</v>
      </c>
      <c r="L302">
        <v>4</v>
      </c>
      <c r="O302">
        <v>25</v>
      </c>
    </row>
    <row r="303" spans="1:15" x14ac:dyDescent="0.2">
      <c r="A303" t="s">
        <v>36</v>
      </c>
      <c r="B303">
        <v>1</v>
      </c>
      <c r="C303" s="1" t="s">
        <v>37</v>
      </c>
      <c r="D303">
        <v>4</v>
      </c>
      <c r="E303">
        <v>0.91400000000000003</v>
      </c>
      <c r="F303">
        <v>9.6</v>
      </c>
      <c r="G303">
        <v>0.81899999999999995</v>
      </c>
      <c r="L303">
        <v>4</v>
      </c>
      <c r="O303">
        <v>25</v>
      </c>
    </row>
    <row r="304" spans="1:15" x14ac:dyDescent="0.2">
      <c r="A304" t="s">
        <v>36</v>
      </c>
      <c r="B304">
        <v>1</v>
      </c>
      <c r="C304" s="1" t="s">
        <v>37</v>
      </c>
      <c r="D304">
        <v>5</v>
      </c>
      <c r="E304">
        <v>0.79</v>
      </c>
      <c r="F304">
        <v>11.78</v>
      </c>
      <c r="G304">
        <v>0.51100000000000001</v>
      </c>
      <c r="L304">
        <v>4</v>
      </c>
      <c r="O304">
        <v>25</v>
      </c>
    </row>
    <row r="305" spans="1:15" x14ac:dyDescent="0.2">
      <c r="A305" t="s">
        <v>36</v>
      </c>
      <c r="B305">
        <v>1</v>
      </c>
      <c r="C305" s="1" t="s">
        <v>37</v>
      </c>
      <c r="D305">
        <v>6</v>
      </c>
      <c r="E305">
        <v>0.71299999999999997</v>
      </c>
      <c r="F305">
        <v>14.15</v>
      </c>
      <c r="G305">
        <v>0.65300000000000002</v>
      </c>
      <c r="L305">
        <v>4</v>
      </c>
      <c r="O305">
        <v>25</v>
      </c>
    </row>
    <row r="306" spans="1:15" x14ac:dyDescent="0.2">
      <c r="A306" t="s">
        <v>36</v>
      </c>
      <c r="B306">
        <v>1</v>
      </c>
      <c r="C306" s="1" t="s">
        <v>37</v>
      </c>
      <c r="D306">
        <v>7</v>
      </c>
      <c r="E306">
        <v>0.83899999999999997</v>
      </c>
      <c r="F306">
        <v>14</v>
      </c>
      <c r="G306">
        <v>0.61399999999999999</v>
      </c>
      <c r="L306">
        <v>4</v>
      </c>
      <c r="O306">
        <v>25</v>
      </c>
    </row>
    <row r="307" spans="1:15" x14ac:dyDescent="0.2">
      <c r="A307" t="s">
        <v>36</v>
      </c>
      <c r="B307">
        <v>1</v>
      </c>
      <c r="C307" s="1" t="s">
        <v>37</v>
      </c>
      <c r="D307">
        <v>8</v>
      </c>
      <c r="E307">
        <v>0.90600000000000003</v>
      </c>
      <c r="F307">
        <v>10.69</v>
      </c>
      <c r="G307">
        <v>0.52</v>
      </c>
      <c r="L307">
        <v>4</v>
      </c>
      <c r="O307">
        <v>25</v>
      </c>
    </row>
    <row r="308" spans="1:15" x14ac:dyDescent="0.2">
      <c r="A308" t="s">
        <v>36</v>
      </c>
      <c r="B308">
        <v>1</v>
      </c>
      <c r="C308" s="1" t="s">
        <v>37</v>
      </c>
      <c r="D308">
        <v>9</v>
      </c>
      <c r="E308">
        <v>0.65500000000000003</v>
      </c>
      <c r="F308">
        <v>13.12</v>
      </c>
      <c r="G308">
        <v>0.621</v>
      </c>
      <c r="L308">
        <v>4</v>
      </c>
      <c r="O308">
        <v>25</v>
      </c>
    </row>
    <row r="309" spans="1:15" x14ac:dyDescent="0.2">
      <c r="A309" t="s">
        <v>36</v>
      </c>
      <c r="B309">
        <v>1</v>
      </c>
      <c r="C309" s="1" t="s">
        <v>28</v>
      </c>
      <c r="D309">
        <v>1</v>
      </c>
      <c r="E309">
        <v>0.70099999999999996</v>
      </c>
      <c r="F309">
        <v>10.199999999999999</v>
      </c>
      <c r="G309">
        <v>0.23300000000000001</v>
      </c>
      <c r="L309">
        <v>4</v>
      </c>
      <c r="O309">
        <v>1</v>
      </c>
    </row>
    <row r="310" spans="1:15" x14ac:dyDescent="0.2">
      <c r="A310" t="s">
        <v>36</v>
      </c>
      <c r="B310">
        <v>1</v>
      </c>
      <c r="C310" s="1" t="s">
        <v>28</v>
      </c>
      <c r="D310">
        <v>2</v>
      </c>
      <c r="E310">
        <v>0.71299999999999997</v>
      </c>
      <c r="F310">
        <v>8.89</v>
      </c>
      <c r="G310">
        <v>0.26300000000000001</v>
      </c>
      <c r="L310">
        <v>4</v>
      </c>
      <c r="O310">
        <v>1</v>
      </c>
    </row>
    <row r="311" spans="1:15" x14ac:dyDescent="0.2">
      <c r="A311" t="s">
        <v>36</v>
      </c>
      <c r="B311">
        <v>1</v>
      </c>
      <c r="C311" s="1" t="s">
        <v>28</v>
      </c>
      <c r="D311">
        <v>3</v>
      </c>
      <c r="E311">
        <v>0.77200000000000002</v>
      </c>
      <c r="F311">
        <v>10.97</v>
      </c>
      <c r="G311">
        <v>0.375</v>
      </c>
      <c r="L311">
        <v>4</v>
      </c>
      <c r="O311">
        <v>1</v>
      </c>
    </row>
    <row r="312" spans="1:15" x14ac:dyDescent="0.2">
      <c r="A312" t="s">
        <v>36</v>
      </c>
      <c r="B312">
        <v>1</v>
      </c>
      <c r="C312" s="1" t="s">
        <v>28</v>
      </c>
      <c r="D312">
        <v>4</v>
      </c>
      <c r="E312">
        <v>0.755</v>
      </c>
      <c r="F312">
        <v>13.8</v>
      </c>
      <c r="G312">
        <v>0.21199999999999999</v>
      </c>
      <c r="L312">
        <v>4</v>
      </c>
      <c r="O312">
        <v>1</v>
      </c>
    </row>
    <row r="313" spans="1:15" x14ac:dyDescent="0.2">
      <c r="A313" t="s">
        <v>36</v>
      </c>
      <c r="B313">
        <v>1</v>
      </c>
      <c r="C313" s="1" t="s">
        <v>28</v>
      </c>
      <c r="D313">
        <v>5</v>
      </c>
      <c r="E313">
        <v>0.82899999999999996</v>
      </c>
      <c r="F313">
        <v>7.57</v>
      </c>
      <c r="G313">
        <v>0.2</v>
      </c>
      <c r="L313">
        <v>4</v>
      </c>
      <c r="O313">
        <v>1</v>
      </c>
    </row>
    <row r="314" spans="1:15" x14ac:dyDescent="0.2">
      <c r="A314" t="s">
        <v>36</v>
      </c>
      <c r="B314">
        <v>1</v>
      </c>
      <c r="C314" s="1" t="s">
        <v>28</v>
      </c>
      <c r="D314">
        <v>6</v>
      </c>
      <c r="E314">
        <v>0.63600000000000001</v>
      </c>
      <c r="F314">
        <v>13.26</v>
      </c>
      <c r="G314">
        <v>0.39500000000000002</v>
      </c>
      <c r="L314">
        <v>4</v>
      </c>
      <c r="O314">
        <v>1</v>
      </c>
    </row>
    <row r="315" spans="1:15" x14ac:dyDescent="0.2">
      <c r="A315" t="s">
        <v>36</v>
      </c>
      <c r="B315">
        <v>1</v>
      </c>
      <c r="C315" s="1" t="s">
        <v>28</v>
      </c>
      <c r="D315">
        <v>7</v>
      </c>
      <c r="E315">
        <v>0.65600000000000003</v>
      </c>
      <c r="F315">
        <v>9.09</v>
      </c>
      <c r="G315">
        <v>0.23</v>
      </c>
      <c r="L315">
        <v>4</v>
      </c>
      <c r="O315">
        <v>1</v>
      </c>
    </row>
    <row r="316" spans="1:15" x14ac:dyDescent="0.2">
      <c r="A316" t="s">
        <v>36</v>
      </c>
      <c r="B316">
        <v>1</v>
      </c>
      <c r="C316" s="1" t="s">
        <v>28</v>
      </c>
      <c r="D316">
        <v>8</v>
      </c>
      <c r="E316">
        <v>0.61899999999999999</v>
      </c>
      <c r="F316">
        <v>13.32</v>
      </c>
      <c r="G316">
        <v>0.151</v>
      </c>
      <c r="L316">
        <v>4</v>
      </c>
      <c r="O316">
        <v>1</v>
      </c>
    </row>
    <row r="317" spans="1:15" x14ac:dyDescent="0.2">
      <c r="A317" t="s">
        <v>36</v>
      </c>
      <c r="B317">
        <v>1</v>
      </c>
      <c r="C317" s="1" t="s">
        <v>28</v>
      </c>
      <c r="D317">
        <v>9</v>
      </c>
      <c r="E317">
        <v>0.57499999999999996</v>
      </c>
      <c r="F317">
        <v>6.79</v>
      </c>
      <c r="G317">
        <v>0.221</v>
      </c>
      <c r="L317">
        <v>4</v>
      </c>
      <c r="O317">
        <v>1</v>
      </c>
    </row>
    <row r="318" spans="1:15" x14ac:dyDescent="0.2">
      <c r="A318" t="s">
        <v>36</v>
      </c>
      <c r="B318">
        <v>1</v>
      </c>
      <c r="C318" s="1" t="s">
        <v>38</v>
      </c>
      <c r="D318">
        <v>1</v>
      </c>
      <c r="E318">
        <v>0.69699999999999995</v>
      </c>
      <c r="F318">
        <v>12.87</v>
      </c>
      <c r="G318">
        <v>0.90600000000000003</v>
      </c>
      <c r="L318">
        <v>4</v>
      </c>
      <c r="O318">
        <v>40</v>
      </c>
    </row>
    <row r="319" spans="1:15" x14ac:dyDescent="0.2">
      <c r="A319" t="s">
        <v>36</v>
      </c>
      <c r="B319">
        <v>1</v>
      </c>
      <c r="C319" s="1" t="s">
        <v>38</v>
      </c>
      <c r="D319">
        <v>2</v>
      </c>
      <c r="E319">
        <v>0.97299999999999998</v>
      </c>
      <c r="F319">
        <v>9.08</v>
      </c>
      <c r="G319">
        <v>0.55200000000000005</v>
      </c>
      <c r="L319">
        <v>4</v>
      </c>
      <c r="O319">
        <v>40</v>
      </c>
    </row>
    <row r="320" spans="1:15" x14ac:dyDescent="0.2">
      <c r="A320" t="s">
        <v>36</v>
      </c>
      <c r="B320">
        <v>1</v>
      </c>
      <c r="C320" s="1" t="s">
        <v>38</v>
      </c>
      <c r="D320">
        <v>3</v>
      </c>
      <c r="E320">
        <v>0.67100000000000004</v>
      </c>
      <c r="F320">
        <v>10.98</v>
      </c>
      <c r="G320">
        <v>0.27700000000000002</v>
      </c>
      <c r="L320">
        <v>4</v>
      </c>
      <c r="O320">
        <v>40</v>
      </c>
    </row>
    <row r="321" spans="1:15" x14ac:dyDescent="0.2">
      <c r="A321" t="s">
        <v>36</v>
      </c>
      <c r="B321">
        <v>1</v>
      </c>
      <c r="C321" s="1" t="s">
        <v>38</v>
      </c>
      <c r="D321">
        <v>4</v>
      </c>
      <c r="E321">
        <v>0.91100000000000003</v>
      </c>
      <c r="F321">
        <v>14.27</v>
      </c>
      <c r="G321">
        <v>0.51400000000000001</v>
      </c>
      <c r="L321">
        <v>4</v>
      </c>
      <c r="O321">
        <v>40</v>
      </c>
    </row>
    <row r="322" spans="1:15" x14ac:dyDescent="0.2">
      <c r="A322" t="s">
        <v>36</v>
      </c>
      <c r="B322">
        <v>1</v>
      </c>
      <c r="C322" s="1" t="s">
        <v>38</v>
      </c>
      <c r="D322">
        <v>5</v>
      </c>
      <c r="E322">
        <v>1.0349999999999999</v>
      </c>
      <c r="F322">
        <v>9.4499999999999993</v>
      </c>
      <c r="G322">
        <v>0.432</v>
      </c>
      <c r="L322">
        <v>4</v>
      </c>
      <c r="O322">
        <v>40</v>
      </c>
    </row>
    <row r="323" spans="1:15" x14ac:dyDescent="0.2">
      <c r="A323" t="s">
        <v>36</v>
      </c>
      <c r="B323">
        <v>1</v>
      </c>
      <c r="C323" s="1" t="s">
        <v>38</v>
      </c>
      <c r="D323">
        <v>6</v>
      </c>
      <c r="E323">
        <v>0.78500000000000003</v>
      </c>
      <c r="F323">
        <v>9.2200000000000006</v>
      </c>
      <c r="G323">
        <v>0.59099999999999997</v>
      </c>
      <c r="L323">
        <v>4</v>
      </c>
      <c r="O323">
        <v>40</v>
      </c>
    </row>
    <row r="324" spans="1:15" x14ac:dyDescent="0.2">
      <c r="A324" t="s">
        <v>36</v>
      </c>
      <c r="B324">
        <v>1</v>
      </c>
      <c r="C324" s="1" t="s">
        <v>38</v>
      </c>
      <c r="D324">
        <v>7</v>
      </c>
      <c r="E324">
        <v>0.89600000000000002</v>
      </c>
      <c r="F324">
        <v>9.2100000000000009</v>
      </c>
      <c r="G324">
        <v>0.9</v>
      </c>
      <c r="L324">
        <v>4</v>
      </c>
      <c r="O324">
        <v>40</v>
      </c>
    </row>
    <row r="325" spans="1:15" x14ac:dyDescent="0.2">
      <c r="A325" t="s">
        <v>36</v>
      </c>
      <c r="B325">
        <v>1</v>
      </c>
      <c r="C325" s="1" t="s">
        <v>38</v>
      </c>
      <c r="D325">
        <v>8</v>
      </c>
      <c r="E325">
        <v>0.623</v>
      </c>
      <c r="F325">
        <v>11.27</v>
      </c>
      <c r="G325">
        <v>0.61899999999999999</v>
      </c>
      <c r="L325">
        <v>4</v>
      </c>
      <c r="O325">
        <v>40</v>
      </c>
    </row>
    <row r="326" spans="1:15" x14ac:dyDescent="0.2">
      <c r="A326" t="s">
        <v>36</v>
      </c>
      <c r="B326">
        <v>1</v>
      </c>
      <c r="C326" s="1" t="s">
        <v>38</v>
      </c>
      <c r="D326">
        <v>9</v>
      </c>
      <c r="E326">
        <v>0.63200000000000001</v>
      </c>
      <c r="F326">
        <v>9.6199999999999992</v>
      </c>
      <c r="G326">
        <v>0.63500000000000001</v>
      </c>
      <c r="L326">
        <v>4</v>
      </c>
      <c r="O326">
        <v>40</v>
      </c>
    </row>
    <row r="327" spans="1:15" x14ac:dyDescent="0.2">
      <c r="A327" t="s">
        <v>36</v>
      </c>
      <c r="B327">
        <v>1</v>
      </c>
      <c r="C327" s="1" t="s">
        <v>13</v>
      </c>
      <c r="D327">
        <v>1</v>
      </c>
      <c r="E327">
        <v>2.3370000000000002</v>
      </c>
      <c r="F327">
        <v>8.9600000000000009</v>
      </c>
      <c r="G327">
        <v>0.23300000000000001</v>
      </c>
      <c r="L327">
        <v>4</v>
      </c>
      <c r="O327">
        <v>7</v>
      </c>
    </row>
    <row r="328" spans="1:15" x14ac:dyDescent="0.2">
      <c r="A328" t="s">
        <v>36</v>
      </c>
      <c r="B328">
        <v>1</v>
      </c>
      <c r="C328" s="1" t="s">
        <v>13</v>
      </c>
      <c r="D328">
        <v>2</v>
      </c>
      <c r="E328">
        <v>3.395</v>
      </c>
      <c r="F328">
        <v>11.54</v>
      </c>
      <c r="G328">
        <v>0.27600000000000002</v>
      </c>
      <c r="L328">
        <v>4</v>
      </c>
      <c r="O328">
        <v>7</v>
      </c>
    </row>
    <row r="329" spans="1:15" x14ac:dyDescent="0.2">
      <c r="A329" t="s">
        <v>36</v>
      </c>
      <c r="B329">
        <v>1</v>
      </c>
      <c r="C329" s="1" t="s">
        <v>13</v>
      </c>
      <c r="D329">
        <v>3</v>
      </c>
      <c r="E329">
        <v>3.3759999999999999</v>
      </c>
      <c r="F329">
        <v>10.33</v>
      </c>
      <c r="G329">
        <v>0.23699999999999999</v>
      </c>
      <c r="L329">
        <v>4</v>
      </c>
      <c r="O329">
        <v>7</v>
      </c>
    </row>
    <row r="330" spans="1:15" x14ac:dyDescent="0.2">
      <c r="A330" t="s">
        <v>36</v>
      </c>
      <c r="B330">
        <v>1</v>
      </c>
      <c r="C330" s="1" t="s">
        <v>13</v>
      </c>
      <c r="D330">
        <v>4</v>
      </c>
      <c r="E330">
        <v>3.1309999999999998</v>
      </c>
      <c r="F330">
        <v>5.23</v>
      </c>
      <c r="G330">
        <v>0.25600000000000001</v>
      </c>
      <c r="L330">
        <v>4</v>
      </c>
      <c r="O330">
        <v>7</v>
      </c>
    </row>
    <row r="331" spans="1:15" x14ac:dyDescent="0.2">
      <c r="A331" t="s">
        <v>36</v>
      </c>
      <c r="B331">
        <v>1</v>
      </c>
      <c r="C331" s="1" t="s">
        <v>13</v>
      </c>
      <c r="D331">
        <v>5</v>
      </c>
      <c r="E331">
        <v>2.552</v>
      </c>
      <c r="F331">
        <v>9.26</v>
      </c>
      <c r="G331">
        <v>0.185</v>
      </c>
      <c r="L331">
        <v>4</v>
      </c>
      <c r="O331">
        <v>7</v>
      </c>
    </row>
    <row r="332" spans="1:15" x14ac:dyDescent="0.2">
      <c r="A332" t="s">
        <v>36</v>
      </c>
      <c r="B332">
        <v>1</v>
      </c>
      <c r="C332" s="1" t="s">
        <v>13</v>
      </c>
      <c r="D332">
        <v>6</v>
      </c>
      <c r="E332">
        <v>4.4610000000000003</v>
      </c>
      <c r="F332">
        <v>8.5299999999999994</v>
      </c>
      <c r="G332">
        <v>0.19800000000000001</v>
      </c>
      <c r="L332">
        <v>4</v>
      </c>
      <c r="O332">
        <v>7</v>
      </c>
    </row>
    <row r="333" spans="1:15" x14ac:dyDescent="0.2">
      <c r="A333" t="s">
        <v>36</v>
      </c>
      <c r="B333">
        <v>1</v>
      </c>
      <c r="C333" s="1" t="s">
        <v>13</v>
      </c>
      <c r="D333">
        <v>7</v>
      </c>
      <c r="E333">
        <v>3.17</v>
      </c>
      <c r="F333">
        <v>10.34</v>
      </c>
      <c r="G333">
        <v>0.23699999999999999</v>
      </c>
      <c r="L333">
        <v>4</v>
      </c>
      <c r="O333">
        <v>7</v>
      </c>
    </row>
    <row r="334" spans="1:15" x14ac:dyDescent="0.2">
      <c r="A334" t="s">
        <v>36</v>
      </c>
      <c r="B334">
        <v>1</v>
      </c>
      <c r="C334" s="1" t="s">
        <v>13</v>
      </c>
      <c r="D334">
        <v>8</v>
      </c>
      <c r="E334">
        <v>4.2190000000000003</v>
      </c>
      <c r="F334">
        <v>8.5399999999999991</v>
      </c>
      <c r="G334">
        <v>0.28000000000000003</v>
      </c>
      <c r="L334">
        <v>4</v>
      </c>
      <c r="O334">
        <v>7</v>
      </c>
    </row>
    <row r="335" spans="1:15" x14ac:dyDescent="0.2">
      <c r="A335" t="s">
        <v>36</v>
      </c>
      <c r="B335">
        <v>1</v>
      </c>
      <c r="C335" s="1" t="s">
        <v>13</v>
      </c>
      <c r="D335">
        <v>9</v>
      </c>
      <c r="E335">
        <v>2.931</v>
      </c>
      <c r="F335">
        <v>7.3</v>
      </c>
      <c r="G335">
        <v>0.252</v>
      </c>
      <c r="L335">
        <v>4</v>
      </c>
      <c r="O335">
        <v>7</v>
      </c>
    </row>
    <row r="336" spans="1:15" x14ac:dyDescent="0.2">
      <c r="A336" t="s">
        <v>36</v>
      </c>
      <c r="B336">
        <v>1</v>
      </c>
      <c r="C336" s="1" t="s">
        <v>39</v>
      </c>
      <c r="D336">
        <v>1</v>
      </c>
      <c r="E336">
        <v>3.085</v>
      </c>
      <c r="F336">
        <v>8.64</v>
      </c>
      <c r="G336">
        <v>0.26500000000000001</v>
      </c>
      <c r="L336">
        <v>4</v>
      </c>
      <c r="O336">
        <v>12</v>
      </c>
    </row>
    <row r="337" spans="1:15" x14ac:dyDescent="0.2">
      <c r="A337" t="s">
        <v>36</v>
      </c>
      <c r="B337">
        <v>1</v>
      </c>
      <c r="C337" s="1" t="s">
        <v>39</v>
      </c>
      <c r="D337">
        <v>2</v>
      </c>
      <c r="E337">
        <v>3.0179999999999998</v>
      </c>
      <c r="F337">
        <v>8.1300000000000008</v>
      </c>
      <c r="G337">
        <v>0.14000000000000001</v>
      </c>
      <c r="L337">
        <v>4</v>
      </c>
      <c r="O337">
        <v>12</v>
      </c>
    </row>
    <row r="338" spans="1:15" x14ac:dyDescent="0.2">
      <c r="A338" t="s">
        <v>36</v>
      </c>
      <c r="B338">
        <v>1</v>
      </c>
      <c r="C338" s="1" t="s">
        <v>39</v>
      </c>
      <c r="D338">
        <v>3</v>
      </c>
      <c r="E338">
        <v>3.948</v>
      </c>
      <c r="F338">
        <v>6.3</v>
      </c>
      <c r="G338">
        <v>0.13400000000000001</v>
      </c>
      <c r="L338">
        <v>4</v>
      </c>
      <c r="O338">
        <v>12</v>
      </c>
    </row>
    <row r="339" spans="1:15" x14ac:dyDescent="0.2">
      <c r="A339" t="s">
        <v>36</v>
      </c>
      <c r="B339">
        <v>1</v>
      </c>
      <c r="C339" s="1" t="s">
        <v>39</v>
      </c>
      <c r="D339">
        <v>4</v>
      </c>
      <c r="E339">
        <v>2.0979999999999999</v>
      </c>
      <c r="F339">
        <v>12.64</v>
      </c>
      <c r="G339">
        <v>0.17100000000000001</v>
      </c>
      <c r="L339">
        <v>4</v>
      </c>
      <c r="O339">
        <v>12</v>
      </c>
    </row>
    <row r="340" spans="1:15" x14ac:dyDescent="0.2">
      <c r="A340" t="s">
        <v>36</v>
      </c>
      <c r="B340">
        <v>1</v>
      </c>
      <c r="C340" s="1" t="s">
        <v>39</v>
      </c>
      <c r="D340">
        <v>5</v>
      </c>
      <c r="E340">
        <v>1.4990000000000001</v>
      </c>
      <c r="F340">
        <v>10.210000000000001</v>
      </c>
      <c r="G340">
        <v>0.124</v>
      </c>
      <c r="L340">
        <v>4</v>
      </c>
      <c r="O340">
        <v>12</v>
      </c>
    </row>
    <row r="341" spans="1:15" x14ac:dyDescent="0.2">
      <c r="A341" t="s">
        <v>36</v>
      </c>
      <c r="B341">
        <v>1</v>
      </c>
      <c r="C341" s="1" t="s">
        <v>39</v>
      </c>
      <c r="D341">
        <v>6</v>
      </c>
      <c r="E341">
        <v>2.4300000000000002</v>
      </c>
      <c r="F341">
        <v>10.43</v>
      </c>
      <c r="G341">
        <v>0.27200000000000002</v>
      </c>
      <c r="L341">
        <v>4</v>
      </c>
      <c r="O341">
        <v>12</v>
      </c>
    </row>
    <row r="342" spans="1:15" x14ac:dyDescent="0.2">
      <c r="A342" t="s">
        <v>36</v>
      </c>
      <c r="B342">
        <v>1</v>
      </c>
      <c r="C342" s="1" t="s">
        <v>39</v>
      </c>
      <c r="D342">
        <v>7</v>
      </c>
      <c r="E342">
        <v>2.0150000000000001</v>
      </c>
      <c r="F342">
        <v>13.4</v>
      </c>
      <c r="G342">
        <v>0.192</v>
      </c>
      <c r="L342">
        <v>4</v>
      </c>
      <c r="O342">
        <v>12</v>
      </c>
    </row>
    <row r="343" spans="1:15" x14ac:dyDescent="0.2">
      <c r="A343" t="s">
        <v>36</v>
      </c>
      <c r="B343">
        <v>1</v>
      </c>
      <c r="C343" s="1" t="s">
        <v>39</v>
      </c>
      <c r="D343">
        <v>8</v>
      </c>
      <c r="E343">
        <v>1.907</v>
      </c>
      <c r="F343">
        <v>8.8699999999999992</v>
      </c>
      <c r="G343">
        <v>0.125</v>
      </c>
      <c r="L343">
        <v>4</v>
      </c>
      <c r="O343">
        <v>12</v>
      </c>
    </row>
    <row r="344" spans="1:15" x14ac:dyDescent="0.2">
      <c r="A344" t="s">
        <v>36</v>
      </c>
      <c r="B344">
        <v>1</v>
      </c>
      <c r="C344" s="1" t="s">
        <v>39</v>
      </c>
      <c r="D344">
        <v>9</v>
      </c>
      <c r="E344">
        <v>2.6030000000000002</v>
      </c>
      <c r="F344">
        <v>9.48</v>
      </c>
      <c r="G344">
        <v>0.26100000000000001</v>
      </c>
      <c r="L344">
        <v>4</v>
      </c>
      <c r="O344">
        <v>12</v>
      </c>
    </row>
    <row r="345" spans="1:15" x14ac:dyDescent="0.2">
      <c r="A345" t="s">
        <v>36</v>
      </c>
      <c r="B345">
        <v>2</v>
      </c>
      <c r="C345" s="1" t="s">
        <v>37</v>
      </c>
      <c r="D345">
        <v>1</v>
      </c>
      <c r="E345">
        <v>0.748</v>
      </c>
      <c r="F345">
        <v>12.46</v>
      </c>
      <c r="G345">
        <v>0.49299999999999999</v>
      </c>
      <c r="L345">
        <v>3.81</v>
      </c>
      <c r="O345">
        <v>16</v>
      </c>
    </row>
    <row r="346" spans="1:15" x14ac:dyDescent="0.2">
      <c r="A346" t="s">
        <v>36</v>
      </c>
      <c r="B346">
        <v>2</v>
      </c>
      <c r="C346" s="1" t="s">
        <v>37</v>
      </c>
      <c r="D346">
        <v>2</v>
      </c>
      <c r="E346">
        <v>1.044</v>
      </c>
      <c r="F346">
        <v>14.41</v>
      </c>
      <c r="G346">
        <v>0.68300000000000005</v>
      </c>
      <c r="L346">
        <v>3.81</v>
      </c>
      <c r="O346">
        <v>16</v>
      </c>
    </row>
    <row r="347" spans="1:15" x14ac:dyDescent="0.2">
      <c r="A347" t="s">
        <v>36</v>
      </c>
      <c r="B347">
        <v>2</v>
      </c>
      <c r="C347" s="1" t="s">
        <v>37</v>
      </c>
      <c r="D347">
        <v>3</v>
      </c>
      <c r="E347">
        <v>0.83199999999999996</v>
      </c>
      <c r="F347">
        <v>11.9</v>
      </c>
      <c r="G347">
        <v>0.504</v>
      </c>
      <c r="L347">
        <v>3.81</v>
      </c>
      <c r="O347">
        <v>16</v>
      </c>
    </row>
    <row r="348" spans="1:15" x14ac:dyDescent="0.2">
      <c r="A348" t="s">
        <v>36</v>
      </c>
      <c r="B348">
        <v>2</v>
      </c>
      <c r="C348" s="1" t="s">
        <v>37</v>
      </c>
      <c r="D348">
        <v>4</v>
      </c>
      <c r="E348">
        <v>0.88300000000000001</v>
      </c>
      <c r="F348">
        <v>10.199999999999999</v>
      </c>
      <c r="G348">
        <v>0.79800000000000004</v>
      </c>
      <c r="L348">
        <v>3.81</v>
      </c>
      <c r="O348">
        <v>16</v>
      </c>
    </row>
    <row r="349" spans="1:15" x14ac:dyDescent="0.2">
      <c r="A349" t="s">
        <v>36</v>
      </c>
      <c r="B349">
        <v>2</v>
      </c>
      <c r="C349" s="1" t="s">
        <v>37</v>
      </c>
      <c r="D349">
        <v>5</v>
      </c>
      <c r="E349">
        <v>0.76400000000000001</v>
      </c>
      <c r="F349">
        <v>12.52</v>
      </c>
      <c r="G349">
        <v>0.498</v>
      </c>
      <c r="L349">
        <v>3.81</v>
      </c>
      <c r="O349">
        <v>16</v>
      </c>
    </row>
    <row r="350" spans="1:15" x14ac:dyDescent="0.2">
      <c r="A350" t="s">
        <v>36</v>
      </c>
      <c r="B350">
        <v>2</v>
      </c>
      <c r="C350" s="1" t="s">
        <v>37</v>
      </c>
      <c r="D350">
        <v>6</v>
      </c>
      <c r="E350">
        <v>0.68899999999999995</v>
      </c>
      <c r="F350">
        <v>15.04</v>
      </c>
      <c r="G350">
        <v>0.63600000000000001</v>
      </c>
      <c r="L350">
        <v>3.81</v>
      </c>
      <c r="O350">
        <v>16</v>
      </c>
    </row>
    <row r="351" spans="1:15" x14ac:dyDescent="0.2">
      <c r="A351" t="s">
        <v>36</v>
      </c>
      <c r="B351">
        <v>2</v>
      </c>
      <c r="C351" s="1" t="s">
        <v>37</v>
      </c>
      <c r="D351">
        <v>7</v>
      </c>
      <c r="E351">
        <v>0.81</v>
      </c>
      <c r="F351">
        <v>14.87</v>
      </c>
      <c r="G351">
        <v>0.59799999999999998</v>
      </c>
      <c r="L351">
        <v>3.81</v>
      </c>
      <c r="O351">
        <v>16</v>
      </c>
    </row>
    <row r="352" spans="1:15" x14ac:dyDescent="0.2">
      <c r="A352" t="s">
        <v>36</v>
      </c>
      <c r="B352">
        <v>2</v>
      </c>
      <c r="C352" s="1" t="s">
        <v>37</v>
      </c>
      <c r="D352">
        <v>8</v>
      </c>
      <c r="E352">
        <v>0.875</v>
      </c>
      <c r="F352">
        <v>11.36</v>
      </c>
      <c r="G352">
        <v>0.50700000000000001</v>
      </c>
      <c r="L352">
        <v>3.81</v>
      </c>
      <c r="O352">
        <v>16</v>
      </c>
    </row>
    <row r="353" spans="1:15" x14ac:dyDescent="0.2">
      <c r="A353" t="s">
        <v>36</v>
      </c>
      <c r="B353">
        <v>2</v>
      </c>
      <c r="C353" s="1" t="s">
        <v>37</v>
      </c>
      <c r="D353">
        <v>9</v>
      </c>
      <c r="E353">
        <v>0.63300000000000001</v>
      </c>
      <c r="F353">
        <v>13.95</v>
      </c>
      <c r="G353">
        <v>0.60499999999999998</v>
      </c>
      <c r="L353">
        <v>3.81</v>
      </c>
      <c r="O353">
        <v>16</v>
      </c>
    </row>
    <row r="354" spans="1:15" x14ac:dyDescent="0.2">
      <c r="A354" t="s">
        <v>36</v>
      </c>
      <c r="B354">
        <v>2</v>
      </c>
      <c r="C354" s="1" t="s">
        <v>28</v>
      </c>
      <c r="D354">
        <v>1</v>
      </c>
      <c r="E354">
        <v>0.67800000000000005</v>
      </c>
      <c r="F354">
        <v>10.84</v>
      </c>
      <c r="G354">
        <v>0.22700000000000001</v>
      </c>
      <c r="L354">
        <v>3.81</v>
      </c>
      <c r="O354">
        <v>1</v>
      </c>
    </row>
    <row r="355" spans="1:15" x14ac:dyDescent="0.2">
      <c r="A355" t="s">
        <v>36</v>
      </c>
      <c r="B355">
        <v>2</v>
      </c>
      <c r="C355" s="1" t="s">
        <v>28</v>
      </c>
      <c r="D355">
        <v>2</v>
      </c>
      <c r="E355">
        <v>0.68899999999999995</v>
      </c>
      <c r="F355">
        <v>9.4499999999999993</v>
      </c>
      <c r="G355">
        <v>0.25600000000000001</v>
      </c>
      <c r="L355">
        <v>3.81</v>
      </c>
      <c r="O355">
        <v>1</v>
      </c>
    </row>
    <row r="356" spans="1:15" x14ac:dyDescent="0.2">
      <c r="A356" t="s">
        <v>36</v>
      </c>
      <c r="B356">
        <v>2</v>
      </c>
      <c r="C356" s="1" t="s">
        <v>28</v>
      </c>
      <c r="D356">
        <v>3</v>
      </c>
      <c r="E356">
        <v>0.745</v>
      </c>
      <c r="F356">
        <v>11.66</v>
      </c>
      <c r="G356">
        <v>0.36599999999999999</v>
      </c>
      <c r="L356">
        <v>3.81</v>
      </c>
      <c r="O356">
        <v>1</v>
      </c>
    </row>
    <row r="357" spans="1:15" x14ac:dyDescent="0.2">
      <c r="A357" t="s">
        <v>36</v>
      </c>
      <c r="B357">
        <v>2</v>
      </c>
      <c r="C357" s="1" t="s">
        <v>28</v>
      </c>
      <c r="D357">
        <v>4</v>
      </c>
      <c r="E357">
        <v>0.73</v>
      </c>
      <c r="F357">
        <v>14.66</v>
      </c>
      <c r="G357">
        <v>0.20599999999999999</v>
      </c>
      <c r="L357">
        <v>3.81</v>
      </c>
      <c r="O357">
        <v>1</v>
      </c>
    </row>
    <row r="358" spans="1:15" x14ac:dyDescent="0.2">
      <c r="A358" t="s">
        <v>36</v>
      </c>
      <c r="B358">
        <v>2</v>
      </c>
      <c r="C358" s="1" t="s">
        <v>28</v>
      </c>
      <c r="D358">
        <v>5</v>
      </c>
      <c r="E358">
        <v>0.8</v>
      </c>
      <c r="F358">
        <v>8.0399999999999991</v>
      </c>
      <c r="G358">
        <v>0.19500000000000001</v>
      </c>
      <c r="L358">
        <v>3.81</v>
      </c>
      <c r="O358">
        <v>1</v>
      </c>
    </row>
    <row r="359" spans="1:15" x14ac:dyDescent="0.2">
      <c r="A359" t="s">
        <v>36</v>
      </c>
      <c r="B359">
        <v>2</v>
      </c>
      <c r="C359" s="1" t="s">
        <v>28</v>
      </c>
      <c r="D359">
        <v>6</v>
      </c>
      <c r="E359">
        <v>0.61399999999999999</v>
      </c>
      <c r="F359">
        <v>14.09</v>
      </c>
      <c r="G359">
        <v>0.38500000000000001</v>
      </c>
      <c r="L359">
        <v>3.81</v>
      </c>
      <c r="O359">
        <v>1</v>
      </c>
    </row>
    <row r="360" spans="1:15" x14ac:dyDescent="0.2">
      <c r="A360" t="s">
        <v>36</v>
      </c>
      <c r="B360">
        <v>2</v>
      </c>
      <c r="C360" s="1" t="s">
        <v>28</v>
      </c>
      <c r="D360">
        <v>7</v>
      </c>
      <c r="E360">
        <v>0.63400000000000001</v>
      </c>
      <c r="F360">
        <v>9.67</v>
      </c>
      <c r="G360">
        <v>0.224</v>
      </c>
      <c r="L360">
        <v>3.81</v>
      </c>
      <c r="O360">
        <v>1</v>
      </c>
    </row>
    <row r="361" spans="1:15" x14ac:dyDescent="0.2">
      <c r="A361" t="s">
        <v>36</v>
      </c>
      <c r="B361">
        <v>2</v>
      </c>
      <c r="C361" s="1" t="s">
        <v>28</v>
      </c>
      <c r="D361">
        <v>8</v>
      </c>
      <c r="E361">
        <v>0.59799999999999998</v>
      </c>
      <c r="F361">
        <v>14.15</v>
      </c>
      <c r="G361">
        <v>0.14699999999999999</v>
      </c>
      <c r="L361">
        <v>3.81</v>
      </c>
      <c r="O361">
        <v>1</v>
      </c>
    </row>
    <row r="362" spans="1:15" x14ac:dyDescent="0.2">
      <c r="A362" t="s">
        <v>36</v>
      </c>
      <c r="B362">
        <v>2</v>
      </c>
      <c r="C362" s="1" t="s">
        <v>28</v>
      </c>
      <c r="D362">
        <v>9</v>
      </c>
      <c r="E362">
        <v>0.55600000000000005</v>
      </c>
      <c r="F362">
        <v>7.22</v>
      </c>
      <c r="G362">
        <v>0.215</v>
      </c>
      <c r="L362">
        <v>3.81</v>
      </c>
      <c r="O362">
        <v>1</v>
      </c>
    </row>
    <row r="363" spans="1:15" x14ac:dyDescent="0.2">
      <c r="A363" t="s">
        <v>36</v>
      </c>
      <c r="B363">
        <v>2</v>
      </c>
      <c r="C363" s="1" t="s">
        <v>38</v>
      </c>
      <c r="D363">
        <v>1</v>
      </c>
      <c r="E363">
        <v>0.67300000000000004</v>
      </c>
      <c r="F363">
        <v>13.68</v>
      </c>
      <c r="G363">
        <v>0.88300000000000001</v>
      </c>
      <c r="L363">
        <v>3.81</v>
      </c>
      <c r="O363">
        <v>23</v>
      </c>
    </row>
    <row r="364" spans="1:15" x14ac:dyDescent="0.2">
      <c r="A364" t="s">
        <v>36</v>
      </c>
      <c r="B364">
        <v>2</v>
      </c>
      <c r="C364" s="1" t="s">
        <v>38</v>
      </c>
      <c r="D364">
        <v>2</v>
      </c>
      <c r="E364">
        <v>0.94</v>
      </c>
      <c r="F364">
        <v>9.64</v>
      </c>
      <c r="G364">
        <v>0.53800000000000003</v>
      </c>
      <c r="L364">
        <v>3.81</v>
      </c>
      <c r="O364">
        <v>23</v>
      </c>
    </row>
    <row r="365" spans="1:15" x14ac:dyDescent="0.2">
      <c r="A365" t="s">
        <v>36</v>
      </c>
      <c r="B365">
        <v>2</v>
      </c>
      <c r="C365" s="1" t="s">
        <v>38</v>
      </c>
      <c r="D365">
        <v>3</v>
      </c>
      <c r="E365">
        <v>0.64900000000000002</v>
      </c>
      <c r="F365">
        <v>11.67</v>
      </c>
      <c r="G365">
        <v>0.27</v>
      </c>
      <c r="L365">
        <v>3.81</v>
      </c>
      <c r="O365">
        <v>23</v>
      </c>
    </row>
    <row r="366" spans="1:15" x14ac:dyDescent="0.2">
      <c r="A366" t="s">
        <v>36</v>
      </c>
      <c r="B366">
        <v>2</v>
      </c>
      <c r="C366" s="1" t="s">
        <v>38</v>
      </c>
      <c r="D366">
        <v>4</v>
      </c>
      <c r="E366">
        <v>0.88100000000000001</v>
      </c>
      <c r="F366">
        <v>15.16</v>
      </c>
      <c r="G366">
        <v>0.501</v>
      </c>
      <c r="L366">
        <v>3.81</v>
      </c>
      <c r="O366">
        <v>23</v>
      </c>
    </row>
    <row r="367" spans="1:15" x14ac:dyDescent="0.2">
      <c r="A367" t="s">
        <v>36</v>
      </c>
      <c r="B367">
        <v>2</v>
      </c>
      <c r="C367" s="1" t="s">
        <v>38</v>
      </c>
      <c r="D367">
        <v>5</v>
      </c>
      <c r="E367">
        <v>1</v>
      </c>
      <c r="F367">
        <v>10.039999999999999</v>
      </c>
      <c r="G367">
        <v>0.42099999999999999</v>
      </c>
      <c r="L367">
        <v>3.81</v>
      </c>
      <c r="O367">
        <v>23</v>
      </c>
    </row>
    <row r="368" spans="1:15" x14ac:dyDescent="0.2">
      <c r="A368" t="s">
        <v>36</v>
      </c>
      <c r="B368">
        <v>2</v>
      </c>
      <c r="C368" s="1" t="s">
        <v>38</v>
      </c>
      <c r="D368">
        <v>6</v>
      </c>
      <c r="E368">
        <v>0.75800000000000001</v>
      </c>
      <c r="F368">
        <v>9.7899999999999991</v>
      </c>
      <c r="G368">
        <v>0.57599999999999996</v>
      </c>
      <c r="L368">
        <v>3.81</v>
      </c>
      <c r="O368">
        <v>23</v>
      </c>
    </row>
    <row r="369" spans="1:15" x14ac:dyDescent="0.2">
      <c r="A369" t="s">
        <v>36</v>
      </c>
      <c r="B369">
        <v>2</v>
      </c>
      <c r="C369" s="1" t="s">
        <v>38</v>
      </c>
      <c r="D369">
        <v>7</v>
      </c>
      <c r="E369">
        <v>0.86599999999999999</v>
      </c>
      <c r="F369">
        <v>9.7899999999999991</v>
      </c>
      <c r="G369">
        <v>0.877</v>
      </c>
      <c r="L369">
        <v>3.81</v>
      </c>
      <c r="O369">
        <v>23</v>
      </c>
    </row>
    <row r="370" spans="1:15" x14ac:dyDescent="0.2">
      <c r="A370" t="s">
        <v>36</v>
      </c>
      <c r="B370">
        <v>2</v>
      </c>
      <c r="C370" s="1" t="s">
        <v>38</v>
      </c>
      <c r="D370">
        <v>8</v>
      </c>
      <c r="E370">
        <v>0.60199999999999998</v>
      </c>
      <c r="F370">
        <v>11.97</v>
      </c>
      <c r="G370">
        <v>0.60299999999999998</v>
      </c>
      <c r="L370">
        <v>3.81</v>
      </c>
      <c r="O370">
        <v>23</v>
      </c>
    </row>
    <row r="371" spans="1:15" x14ac:dyDescent="0.2">
      <c r="A371" t="s">
        <v>36</v>
      </c>
      <c r="B371">
        <v>2</v>
      </c>
      <c r="C371" s="1" t="s">
        <v>38</v>
      </c>
      <c r="D371">
        <v>9</v>
      </c>
      <c r="E371">
        <v>0.61099999999999999</v>
      </c>
      <c r="F371">
        <v>10.220000000000001</v>
      </c>
      <c r="G371">
        <v>0.61799999999999999</v>
      </c>
      <c r="L371">
        <v>3.81</v>
      </c>
      <c r="O371">
        <v>23</v>
      </c>
    </row>
    <row r="372" spans="1:15" x14ac:dyDescent="0.2">
      <c r="A372" t="s">
        <v>36</v>
      </c>
      <c r="B372">
        <v>2</v>
      </c>
      <c r="C372" s="1" t="s">
        <v>13</v>
      </c>
      <c r="D372">
        <v>1</v>
      </c>
      <c r="E372">
        <v>2.258</v>
      </c>
      <c r="F372">
        <v>9.52</v>
      </c>
      <c r="G372">
        <v>0.22700000000000001</v>
      </c>
      <c r="L372">
        <v>3.81</v>
      </c>
      <c r="O372">
        <v>4</v>
      </c>
    </row>
    <row r="373" spans="1:15" x14ac:dyDescent="0.2">
      <c r="A373" t="s">
        <v>36</v>
      </c>
      <c r="B373">
        <v>2</v>
      </c>
      <c r="C373" s="1" t="s">
        <v>13</v>
      </c>
      <c r="D373">
        <v>2</v>
      </c>
      <c r="E373">
        <v>3.28</v>
      </c>
      <c r="F373">
        <v>12.27</v>
      </c>
      <c r="G373">
        <v>0.26900000000000002</v>
      </c>
      <c r="L373">
        <v>3.81</v>
      </c>
      <c r="O373">
        <v>4</v>
      </c>
    </row>
    <row r="374" spans="1:15" x14ac:dyDescent="0.2">
      <c r="A374" t="s">
        <v>36</v>
      </c>
      <c r="B374">
        <v>2</v>
      </c>
      <c r="C374" s="1" t="s">
        <v>13</v>
      </c>
      <c r="D374">
        <v>3</v>
      </c>
      <c r="E374">
        <v>3.262</v>
      </c>
      <c r="F374">
        <v>10.98</v>
      </c>
      <c r="G374">
        <v>0.23100000000000001</v>
      </c>
      <c r="L374">
        <v>3.81</v>
      </c>
      <c r="O374">
        <v>4</v>
      </c>
    </row>
    <row r="375" spans="1:15" x14ac:dyDescent="0.2">
      <c r="A375" t="s">
        <v>36</v>
      </c>
      <c r="B375">
        <v>2</v>
      </c>
      <c r="C375" s="1" t="s">
        <v>13</v>
      </c>
      <c r="D375">
        <v>4</v>
      </c>
      <c r="E375">
        <v>3.024</v>
      </c>
      <c r="F375">
        <v>5.56</v>
      </c>
      <c r="G375">
        <v>0.249</v>
      </c>
      <c r="L375">
        <v>3.81</v>
      </c>
      <c r="O375">
        <v>4</v>
      </c>
    </row>
    <row r="376" spans="1:15" x14ac:dyDescent="0.2">
      <c r="A376" t="s">
        <v>36</v>
      </c>
      <c r="B376">
        <v>2</v>
      </c>
      <c r="C376" s="1" t="s">
        <v>13</v>
      </c>
      <c r="D376">
        <v>5</v>
      </c>
      <c r="E376">
        <v>2.4649999999999999</v>
      </c>
      <c r="F376">
        <v>9.84</v>
      </c>
      <c r="G376">
        <v>0.18</v>
      </c>
      <c r="L376">
        <v>3.81</v>
      </c>
      <c r="O376">
        <v>4</v>
      </c>
    </row>
    <row r="377" spans="1:15" x14ac:dyDescent="0.2">
      <c r="A377" t="s">
        <v>36</v>
      </c>
      <c r="B377">
        <v>2</v>
      </c>
      <c r="C377" s="1" t="s">
        <v>13</v>
      </c>
      <c r="D377">
        <v>6</v>
      </c>
      <c r="E377">
        <v>4.3099999999999996</v>
      </c>
      <c r="F377">
        <v>9.07</v>
      </c>
      <c r="G377">
        <v>0.193</v>
      </c>
      <c r="L377">
        <v>3.81</v>
      </c>
      <c r="O377">
        <v>4</v>
      </c>
    </row>
    <row r="378" spans="1:15" x14ac:dyDescent="0.2">
      <c r="A378" t="s">
        <v>36</v>
      </c>
      <c r="B378">
        <v>2</v>
      </c>
      <c r="C378" s="1" t="s">
        <v>13</v>
      </c>
      <c r="D378">
        <v>7</v>
      </c>
      <c r="E378">
        <v>3.0630000000000002</v>
      </c>
      <c r="F378">
        <v>10.99</v>
      </c>
      <c r="G378">
        <v>0.23</v>
      </c>
      <c r="L378">
        <v>3.81</v>
      </c>
      <c r="O378">
        <v>4</v>
      </c>
    </row>
    <row r="379" spans="1:15" x14ac:dyDescent="0.2">
      <c r="A379" t="s">
        <v>36</v>
      </c>
      <c r="B379">
        <v>2</v>
      </c>
      <c r="C379" s="1" t="s">
        <v>13</v>
      </c>
      <c r="D379">
        <v>8</v>
      </c>
      <c r="E379">
        <v>4.0759999999999996</v>
      </c>
      <c r="F379">
        <v>9.07</v>
      </c>
      <c r="G379">
        <v>0.27300000000000002</v>
      </c>
      <c r="L379">
        <v>3.81</v>
      </c>
      <c r="O379">
        <v>4</v>
      </c>
    </row>
    <row r="380" spans="1:15" x14ac:dyDescent="0.2">
      <c r="A380" t="s">
        <v>36</v>
      </c>
      <c r="B380">
        <v>2</v>
      </c>
      <c r="C380" s="1" t="s">
        <v>13</v>
      </c>
      <c r="D380">
        <v>9</v>
      </c>
      <c r="E380">
        <v>2.831</v>
      </c>
      <c r="F380">
        <v>7.76</v>
      </c>
      <c r="G380">
        <v>0.246</v>
      </c>
      <c r="L380">
        <v>3.81</v>
      </c>
      <c r="O380">
        <v>4</v>
      </c>
    </row>
    <row r="381" spans="1:15" x14ac:dyDescent="0.2">
      <c r="A381" t="s">
        <v>36</v>
      </c>
      <c r="B381">
        <v>2</v>
      </c>
      <c r="C381" s="1" t="s">
        <v>39</v>
      </c>
      <c r="D381">
        <v>1</v>
      </c>
      <c r="E381">
        <v>2.9809999999999999</v>
      </c>
      <c r="F381">
        <v>9.18</v>
      </c>
      <c r="G381">
        <v>0.25800000000000001</v>
      </c>
      <c r="L381">
        <v>3.81</v>
      </c>
      <c r="O381">
        <v>8</v>
      </c>
    </row>
    <row r="382" spans="1:15" x14ac:dyDescent="0.2">
      <c r="A382" t="s">
        <v>36</v>
      </c>
      <c r="B382">
        <v>2</v>
      </c>
      <c r="C382" s="1" t="s">
        <v>39</v>
      </c>
      <c r="D382">
        <v>2</v>
      </c>
      <c r="E382">
        <v>2.9159999999999999</v>
      </c>
      <c r="F382">
        <v>8.64</v>
      </c>
      <c r="G382">
        <v>0.13700000000000001</v>
      </c>
      <c r="L382">
        <v>3.81</v>
      </c>
      <c r="O382">
        <v>8</v>
      </c>
    </row>
    <row r="383" spans="1:15" x14ac:dyDescent="0.2">
      <c r="A383" t="s">
        <v>36</v>
      </c>
      <c r="B383">
        <v>2</v>
      </c>
      <c r="C383" s="1" t="s">
        <v>39</v>
      </c>
      <c r="D383">
        <v>3</v>
      </c>
      <c r="E383">
        <v>3.8140000000000001</v>
      </c>
      <c r="F383">
        <v>6.7</v>
      </c>
      <c r="G383">
        <v>0.13</v>
      </c>
      <c r="L383">
        <v>3.81</v>
      </c>
      <c r="O383">
        <v>8</v>
      </c>
    </row>
    <row r="384" spans="1:15" x14ac:dyDescent="0.2">
      <c r="A384" t="s">
        <v>36</v>
      </c>
      <c r="B384">
        <v>2</v>
      </c>
      <c r="C384" s="1" t="s">
        <v>39</v>
      </c>
      <c r="D384">
        <v>4</v>
      </c>
      <c r="E384">
        <v>2.0270000000000001</v>
      </c>
      <c r="F384">
        <v>13.44</v>
      </c>
      <c r="G384">
        <v>0.16700000000000001</v>
      </c>
      <c r="L384">
        <v>3.81</v>
      </c>
      <c r="O384">
        <v>8</v>
      </c>
    </row>
    <row r="385" spans="1:15" x14ac:dyDescent="0.2">
      <c r="A385" t="s">
        <v>36</v>
      </c>
      <c r="B385">
        <v>2</v>
      </c>
      <c r="C385" s="1" t="s">
        <v>39</v>
      </c>
      <c r="D385">
        <v>5</v>
      </c>
      <c r="E385">
        <v>1.448</v>
      </c>
      <c r="F385">
        <v>10.85</v>
      </c>
      <c r="G385">
        <v>0.121</v>
      </c>
      <c r="L385">
        <v>3.81</v>
      </c>
      <c r="O385">
        <v>8</v>
      </c>
    </row>
    <row r="386" spans="1:15" x14ac:dyDescent="0.2">
      <c r="A386" t="s">
        <v>36</v>
      </c>
      <c r="B386">
        <v>2</v>
      </c>
      <c r="C386" s="1" t="s">
        <v>39</v>
      </c>
      <c r="D386">
        <v>6</v>
      </c>
      <c r="E386">
        <v>2.3479999999999999</v>
      </c>
      <c r="F386">
        <v>11.08</v>
      </c>
      <c r="G386">
        <v>0.26500000000000001</v>
      </c>
      <c r="L386">
        <v>3.81</v>
      </c>
      <c r="O386">
        <v>8</v>
      </c>
    </row>
    <row r="387" spans="1:15" x14ac:dyDescent="0.2">
      <c r="A387" t="s">
        <v>36</v>
      </c>
      <c r="B387">
        <v>2</v>
      </c>
      <c r="C387" s="1" t="s">
        <v>39</v>
      </c>
      <c r="D387">
        <v>7</v>
      </c>
      <c r="E387">
        <v>1.9470000000000001</v>
      </c>
      <c r="F387">
        <v>14.24</v>
      </c>
      <c r="G387">
        <v>0.187</v>
      </c>
      <c r="L387">
        <v>3.81</v>
      </c>
      <c r="O387">
        <v>8</v>
      </c>
    </row>
    <row r="388" spans="1:15" x14ac:dyDescent="0.2">
      <c r="A388" t="s">
        <v>36</v>
      </c>
      <c r="B388">
        <v>2</v>
      </c>
      <c r="C388" s="1" t="s">
        <v>39</v>
      </c>
      <c r="D388">
        <v>8</v>
      </c>
      <c r="E388">
        <v>1.8420000000000001</v>
      </c>
      <c r="F388">
        <v>9.42</v>
      </c>
      <c r="G388">
        <v>0.122</v>
      </c>
      <c r="L388">
        <v>3.81</v>
      </c>
      <c r="O388">
        <v>8</v>
      </c>
    </row>
    <row r="389" spans="1:15" x14ac:dyDescent="0.2">
      <c r="A389" t="s">
        <v>36</v>
      </c>
      <c r="B389">
        <v>2</v>
      </c>
      <c r="C389" s="1" t="s">
        <v>39</v>
      </c>
      <c r="D389">
        <v>9</v>
      </c>
      <c r="E389">
        <v>2.5150000000000001</v>
      </c>
      <c r="F389">
        <v>10.07</v>
      </c>
      <c r="G389">
        <v>0.254</v>
      </c>
      <c r="L389">
        <v>3.81</v>
      </c>
      <c r="O389">
        <v>8</v>
      </c>
    </row>
    <row r="390" spans="1:15" x14ac:dyDescent="0.2">
      <c r="A390" t="s">
        <v>36</v>
      </c>
      <c r="B390">
        <v>2</v>
      </c>
      <c r="C390" s="1" t="s">
        <v>40</v>
      </c>
      <c r="D390">
        <v>1</v>
      </c>
      <c r="E390">
        <v>0.52100000000000002</v>
      </c>
      <c r="F390">
        <v>46.65</v>
      </c>
      <c r="G390">
        <v>0.38200000000000001</v>
      </c>
      <c r="L390">
        <v>3.81</v>
      </c>
      <c r="O390">
        <v>38</v>
      </c>
    </row>
    <row r="391" spans="1:15" x14ac:dyDescent="0.2">
      <c r="A391" t="s">
        <v>36</v>
      </c>
      <c r="B391">
        <v>2</v>
      </c>
      <c r="C391" s="1" t="s">
        <v>40</v>
      </c>
      <c r="D391">
        <v>2</v>
      </c>
      <c r="E391">
        <v>0.46899999999999997</v>
      </c>
      <c r="F391">
        <v>47.15</v>
      </c>
      <c r="G391">
        <v>0.27200000000000002</v>
      </c>
      <c r="L391">
        <v>3.81</v>
      </c>
      <c r="O391">
        <v>38</v>
      </c>
    </row>
    <row r="392" spans="1:15" x14ac:dyDescent="0.2">
      <c r="A392" t="s">
        <v>36</v>
      </c>
      <c r="B392">
        <v>2</v>
      </c>
      <c r="C392" s="1" t="s">
        <v>40</v>
      </c>
      <c r="D392">
        <v>3</v>
      </c>
      <c r="E392">
        <v>0.42099999999999999</v>
      </c>
      <c r="F392">
        <v>37.090000000000003</v>
      </c>
      <c r="G392">
        <v>0.27100000000000002</v>
      </c>
      <c r="L392">
        <v>3.81</v>
      </c>
      <c r="O392">
        <v>38</v>
      </c>
    </row>
    <row r="393" spans="1:15" x14ac:dyDescent="0.2">
      <c r="A393" t="s">
        <v>36</v>
      </c>
      <c r="B393">
        <v>2</v>
      </c>
      <c r="C393" s="1" t="s">
        <v>40</v>
      </c>
      <c r="D393">
        <v>4</v>
      </c>
      <c r="E393">
        <v>0.52200000000000002</v>
      </c>
      <c r="F393">
        <v>59.09</v>
      </c>
      <c r="G393">
        <v>0.36699999999999999</v>
      </c>
      <c r="L393">
        <v>3.81</v>
      </c>
      <c r="O393">
        <v>38</v>
      </c>
    </row>
    <row r="394" spans="1:15" x14ac:dyDescent="0.2">
      <c r="A394" t="s">
        <v>36</v>
      </c>
      <c r="B394">
        <v>2</v>
      </c>
      <c r="C394" s="1" t="s">
        <v>40</v>
      </c>
      <c r="D394">
        <v>5</v>
      </c>
      <c r="E394">
        <v>0.505</v>
      </c>
      <c r="F394">
        <v>57.4</v>
      </c>
      <c r="G394">
        <v>0.28000000000000003</v>
      </c>
      <c r="L394">
        <v>3.81</v>
      </c>
      <c r="O394">
        <v>38</v>
      </c>
    </row>
    <row r="395" spans="1:15" x14ac:dyDescent="0.2">
      <c r="A395" t="s">
        <v>36</v>
      </c>
      <c r="B395">
        <v>2</v>
      </c>
      <c r="C395" s="1" t="s">
        <v>40</v>
      </c>
      <c r="D395">
        <v>6</v>
      </c>
      <c r="E395">
        <v>0.504</v>
      </c>
      <c r="F395">
        <v>43.97</v>
      </c>
      <c r="G395">
        <v>0.28299999999999997</v>
      </c>
      <c r="L395">
        <v>3.81</v>
      </c>
      <c r="O395">
        <v>38</v>
      </c>
    </row>
    <row r="396" spans="1:15" x14ac:dyDescent="0.2">
      <c r="A396" t="s">
        <v>36</v>
      </c>
      <c r="B396">
        <v>2</v>
      </c>
      <c r="C396" s="1" t="s">
        <v>40</v>
      </c>
      <c r="D396">
        <v>7</v>
      </c>
      <c r="E396">
        <v>0.45700000000000002</v>
      </c>
      <c r="F396">
        <v>35.549999999999997</v>
      </c>
      <c r="G396">
        <v>0.32400000000000001</v>
      </c>
      <c r="L396">
        <v>3.81</v>
      </c>
      <c r="O396">
        <v>38</v>
      </c>
    </row>
    <row r="397" spans="1:15" x14ac:dyDescent="0.2">
      <c r="A397" t="s">
        <v>36</v>
      </c>
      <c r="B397">
        <v>2</v>
      </c>
      <c r="C397" s="1" t="s">
        <v>40</v>
      </c>
      <c r="D397">
        <v>8</v>
      </c>
      <c r="E397">
        <v>0.49399999999999999</v>
      </c>
      <c r="F397">
        <v>53.33</v>
      </c>
      <c r="G397">
        <v>0.23599999999999999</v>
      </c>
      <c r="L397">
        <v>3.81</v>
      </c>
      <c r="O397">
        <v>38</v>
      </c>
    </row>
    <row r="398" spans="1:15" x14ac:dyDescent="0.2">
      <c r="A398" t="s">
        <v>36</v>
      </c>
      <c r="B398">
        <v>2</v>
      </c>
      <c r="C398" s="1" t="s">
        <v>40</v>
      </c>
      <c r="D398">
        <v>9</v>
      </c>
      <c r="E398">
        <v>0.56399999999999995</v>
      </c>
      <c r="F398">
        <v>40.659999999999997</v>
      </c>
      <c r="G398">
        <v>0.29099999999999998</v>
      </c>
      <c r="L398">
        <v>3.81</v>
      </c>
      <c r="O398">
        <v>38</v>
      </c>
    </row>
    <row r="399" spans="1:15" x14ac:dyDescent="0.2">
      <c r="A399" t="s">
        <v>36</v>
      </c>
      <c r="B399">
        <v>2</v>
      </c>
      <c r="C399" s="1" t="s">
        <v>41</v>
      </c>
      <c r="D399">
        <v>1</v>
      </c>
      <c r="E399">
        <v>0.52900000000000003</v>
      </c>
      <c r="F399">
        <v>37.46</v>
      </c>
      <c r="G399">
        <v>0.23699999999999999</v>
      </c>
      <c r="L399">
        <v>3.81</v>
      </c>
      <c r="O399">
        <v>2</v>
      </c>
    </row>
    <row r="400" spans="1:15" x14ac:dyDescent="0.2">
      <c r="A400" t="s">
        <v>36</v>
      </c>
      <c r="B400">
        <v>2</v>
      </c>
      <c r="C400" s="1" t="s">
        <v>41</v>
      </c>
      <c r="D400">
        <v>2</v>
      </c>
      <c r="E400">
        <v>0.49399999999999999</v>
      </c>
      <c r="F400">
        <v>52.58</v>
      </c>
      <c r="G400">
        <v>0.255</v>
      </c>
      <c r="L400">
        <v>3.81</v>
      </c>
      <c r="O400">
        <v>2</v>
      </c>
    </row>
    <row r="401" spans="1:15" x14ac:dyDescent="0.2">
      <c r="A401" t="s">
        <v>36</v>
      </c>
      <c r="B401">
        <v>2</v>
      </c>
      <c r="C401" s="1" t="s">
        <v>41</v>
      </c>
      <c r="D401">
        <v>3</v>
      </c>
      <c r="E401">
        <v>0.41399999999999998</v>
      </c>
      <c r="F401">
        <v>34.31</v>
      </c>
      <c r="G401">
        <v>0.36399999999999999</v>
      </c>
      <c r="L401">
        <v>3.81</v>
      </c>
      <c r="O401">
        <v>2</v>
      </c>
    </row>
    <row r="402" spans="1:15" x14ac:dyDescent="0.2">
      <c r="A402" t="s">
        <v>36</v>
      </c>
      <c r="B402">
        <v>2</v>
      </c>
      <c r="C402" s="1" t="s">
        <v>41</v>
      </c>
      <c r="D402">
        <v>4</v>
      </c>
      <c r="E402">
        <v>0.48399999999999999</v>
      </c>
      <c r="F402">
        <v>34.049999999999997</v>
      </c>
      <c r="G402">
        <v>0.23699999999999999</v>
      </c>
      <c r="L402">
        <v>3.81</v>
      </c>
      <c r="O402">
        <v>2</v>
      </c>
    </row>
    <row r="403" spans="1:15" x14ac:dyDescent="0.2">
      <c r="A403" t="s">
        <v>36</v>
      </c>
      <c r="B403">
        <v>2</v>
      </c>
      <c r="C403" s="1" t="s">
        <v>41</v>
      </c>
      <c r="D403">
        <v>5</v>
      </c>
      <c r="E403">
        <v>0.49199999999999999</v>
      </c>
      <c r="F403">
        <v>50.04</v>
      </c>
      <c r="G403">
        <v>0.32500000000000001</v>
      </c>
      <c r="L403">
        <v>3.81</v>
      </c>
      <c r="O403">
        <v>2</v>
      </c>
    </row>
    <row r="404" spans="1:15" x14ac:dyDescent="0.2">
      <c r="A404" t="s">
        <v>36</v>
      </c>
      <c r="B404">
        <v>2</v>
      </c>
      <c r="C404" s="1" t="s">
        <v>41</v>
      </c>
      <c r="D404">
        <v>6</v>
      </c>
      <c r="E404">
        <v>0.54300000000000004</v>
      </c>
      <c r="F404">
        <v>58.37</v>
      </c>
      <c r="G404">
        <v>0.28499999999999998</v>
      </c>
      <c r="L404">
        <v>3.81</v>
      </c>
      <c r="O404">
        <v>2</v>
      </c>
    </row>
    <row r="405" spans="1:15" x14ac:dyDescent="0.2">
      <c r="A405" t="s">
        <v>36</v>
      </c>
      <c r="B405">
        <v>2</v>
      </c>
      <c r="C405" s="1" t="s">
        <v>41</v>
      </c>
      <c r="D405">
        <v>7</v>
      </c>
      <c r="E405">
        <v>0.48299999999999998</v>
      </c>
      <c r="F405">
        <v>48.51</v>
      </c>
      <c r="G405">
        <v>0.20899999999999999</v>
      </c>
      <c r="L405">
        <v>3.81</v>
      </c>
      <c r="O405">
        <v>2</v>
      </c>
    </row>
    <row r="406" spans="1:15" x14ac:dyDescent="0.2">
      <c r="A406" t="s">
        <v>36</v>
      </c>
      <c r="B406">
        <v>2</v>
      </c>
      <c r="C406" s="1" t="s">
        <v>41</v>
      </c>
      <c r="D406">
        <v>8</v>
      </c>
      <c r="E406">
        <v>0.52700000000000002</v>
      </c>
      <c r="F406">
        <v>55.23</v>
      </c>
      <c r="G406">
        <v>0.217</v>
      </c>
      <c r="L406">
        <v>3.81</v>
      </c>
      <c r="O406">
        <v>2</v>
      </c>
    </row>
    <row r="407" spans="1:15" x14ac:dyDescent="0.2">
      <c r="A407" t="s">
        <v>36</v>
      </c>
      <c r="B407">
        <v>2</v>
      </c>
      <c r="C407" s="1" t="s">
        <v>41</v>
      </c>
      <c r="D407">
        <v>9</v>
      </c>
      <c r="E407">
        <v>0.48799999999999999</v>
      </c>
      <c r="F407">
        <v>52.09</v>
      </c>
      <c r="G407">
        <v>0.22700000000000001</v>
      </c>
      <c r="L407">
        <v>3.81</v>
      </c>
      <c r="O407">
        <v>2</v>
      </c>
    </row>
    <row r="408" spans="1:15" x14ac:dyDescent="0.2">
      <c r="A408" t="s">
        <v>36</v>
      </c>
      <c r="B408">
        <v>3</v>
      </c>
      <c r="C408" s="1" t="s">
        <v>37</v>
      </c>
      <c r="D408">
        <v>1</v>
      </c>
      <c r="E408">
        <v>0.72099999999999997</v>
      </c>
      <c r="F408">
        <v>13.2</v>
      </c>
      <c r="G408">
        <v>0.48</v>
      </c>
      <c r="L408">
        <v>3.57</v>
      </c>
      <c r="O408">
        <v>15</v>
      </c>
    </row>
    <row r="409" spans="1:15" x14ac:dyDescent="0.2">
      <c r="A409" t="s">
        <v>36</v>
      </c>
      <c r="B409">
        <v>3</v>
      </c>
      <c r="C409" s="1" t="s">
        <v>37</v>
      </c>
      <c r="D409">
        <v>2</v>
      </c>
      <c r="E409">
        <v>1.0069999999999999</v>
      </c>
      <c r="F409">
        <v>15.26</v>
      </c>
      <c r="G409">
        <v>0.66500000000000004</v>
      </c>
      <c r="L409">
        <v>3.57</v>
      </c>
      <c r="O409">
        <v>15</v>
      </c>
    </row>
    <row r="410" spans="1:15" x14ac:dyDescent="0.2">
      <c r="A410" t="s">
        <v>36</v>
      </c>
      <c r="B410">
        <v>3</v>
      </c>
      <c r="C410" s="1" t="s">
        <v>37</v>
      </c>
      <c r="D410">
        <v>3</v>
      </c>
      <c r="E410">
        <v>0.80200000000000005</v>
      </c>
      <c r="F410">
        <v>12.6</v>
      </c>
      <c r="G410">
        <v>0.49099999999999999</v>
      </c>
      <c r="L410">
        <v>3.57</v>
      </c>
      <c r="O410">
        <v>15</v>
      </c>
    </row>
    <row r="411" spans="1:15" x14ac:dyDescent="0.2">
      <c r="A411" t="s">
        <v>36</v>
      </c>
      <c r="B411">
        <v>3</v>
      </c>
      <c r="C411" s="1" t="s">
        <v>37</v>
      </c>
      <c r="D411">
        <v>4</v>
      </c>
      <c r="E411">
        <v>0.85199999999999998</v>
      </c>
      <c r="F411">
        <v>10.8</v>
      </c>
      <c r="G411">
        <v>0.77700000000000002</v>
      </c>
      <c r="L411">
        <v>3.57</v>
      </c>
      <c r="O411">
        <v>15</v>
      </c>
    </row>
    <row r="412" spans="1:15" x14ac:dyDescent="0.2">
      <c r="A412" t="s">
        <v>36</v>
      </c>
      <c r="B412">
        <v>3</v>
      </c>
      <c r="C412" s="1" t="s">
        <v>37</v>
      </c>
      <c r="D412">
        <v>5</v>
      </c>
      <c r="E412">
        <v>0.73699999999999999</v>
      </c>
      <c r="F412">
        <v>13.26</v>
      </c>
      <c r="G412">
        <v>0.48499999999999999</v>
      </c>
      <c r="L412">
        <v>3.57</v>
      </c>
      <c r="O412">
        <v>15</v>
      </c>
    </row>
    <row r="413" spans="1:15" x14ac:dyDescent="0.2">
      <c r="A413" t="s">
        <v>36</v>
      </c>
      <c r="B413">
        <v>3</v>
      </c>
      <c r="C413" s="1" t="s">
        <v>37</v>
      </c>
      <c r="D413">
        <v>6</v>
      </c>
      <c r="E413">
        <v>0.66500000000000004</v>
      </c>
      <c r="F413">
        <v>15.93</v>
      </c>
      <c r="G413">
        <v>0.61899999999999999</v>
      </c>
      <c r="L413">
        <v>3.57</v>
      </c>
      <c r="O413">
        <v>15</v>
      </c>
    </row>
    <row r="414" spans="1:15" x14ac:dyDescent="0.2">
      <c r="A414" t="s">
        <v>36</v>
      </c>
      <c r="B414">
        <v>3</v>
      </c>
      <c r="C414" s="1" t="s">
        <v>37</v>
      </c>
      <c r="D414">
        <v>7</v>
      </c>
      <c r="E414">
        <v>0.78200000000000003</v>
      </c>
      <c r="F414">
        <v>15.75</v>
      </c>
      <c r="G414">
        <v>0.58199999999999996</v>
      </c>
      <c r="L414">
        <v>3.57</v>
      </c>
      <c r="O414">
        <v>15</v>
      </c>
    </row>
    <row r="415" spans="1:15" x14ac:dyDescent="0.2">
      <c r="A415" t="s">
        <v>36</v>
      </c>
      <c r="B415">
        <v>3</v>
      </c>
      <c r="C415" s="1" t="s">
        <v>37</v>
      </c>
      <c r="D415">
        <v>8</v>
      </c>
      <c r="E415">
        <v>0.84499999999999997</v>
      </c>
      <c r="F415">
        <v>12.03</v>
      </c>
      <c r="G415">
        <v>0.49299999999999999</v>
      </c>
      <c r="L415">
        <v>3.57</v>
      </c>
      <c r="O415">
        <v>15</v>
      </c>
    </row>
    <row r="416" spans="1:15" x14ac:dyDescent="0.2">
      <c r="A416" t="s">
        <v>36</v>
      </c>
      <c r="B416">
        <v>3</v>
      </c>
      <c r="C416" s="1" t="s">
        <v>37</v>
      </c>
      <c r="D416">
        <v>9</v>
      </c>
      <c r="E416">
        <v>0.61099999999999999</v>
      </c>
      <c r="F416">
        <v>14.77</v>
      </c>
      <c r="G416">
        <v>0.59</v>
      </c>
      <c r="L416">
        <v>3.57</v>
      </c>
      <c r="O416">
        <v>15</v>
      </c>
    </row>
    <row r="417" spans="1:15" x14ac:dyDescent="0.2">
      <c r="A417" t="s">
        <v>36</v>
      </c>
      <c r="B417">
        <v>3</v>
      </c>
      <c r="C417" s="1" t="s">
        <v>28</v>
      </c>
      <c r="D417">
        <v>1</v>
      </c>
      <c r="E417">
        <v>0.65400000000000003</v>
      </c>
      <c r="F417">
        <v>11.48</v>
      </c>
      <c r="G417">
        <v>0.221</v>
      </c>
      <c r="L417">
        <v>3.57</v>
      </c>
      <c r="O417">
        <v>1</v>
      </c>
    </row>
    <row r="418" spans="1:15" x14ac:dyDescent="0.2">
      <c r="A418" t="s">
        <v>36</v>
      </c>
      <c r="B418">
        <v>3</v>
      </c>
      <c r="C418" s="1" t="s">
        <v>28</v>
      </c>
      <c r="D418">
        <v>2</v>
      </c>
      <c r="E418">
        <v>0.66500000000000004</v>
      </c>
      <c r="F418">
        <v>10</v>
      </c>
      <c r="G418">
        <v>0.249</v>
      </c>
      <c r="L418">
        <v>3.57</v>
      </c>
      <c r="O418">
        <v>1</v>
      </c>
    </row>
    <row r="419" spans="1:15" x14ac:dyDescent="0.2">
      <c r="A419" t="s">
        <v>36</v>
      </c>
      <c r="B419">
        <v>3</v>
      </c>
      <c r="C419" s="1" t="s">
        <v>28</v>
      </c>
      <c r="D419">
        <v>3</v>
      </c>
      <c r="E419">
        <v>0.71899999999999997</v>
      </c>
      <c r="F419">
        <v>12.35</v>
      </c>
      <c r="G419">
        <v>0.35599999999999998</v>
      </c>
      <c r="L419">
        <v>3.57</v>
      </c>
      <c r="O419">
        <v>1</v>
      </c>
    </row>
    <row r="420" spans="1:15" x14ac:dyDescent="0.2">
      <c r="A420" t="s">
        <v>36</v>
      </c>
      <c r="B420">
        <v>3</v>
      </c>
      <c r="C420" s="1" t="s">
        <v>28</v>
      </c>
      <c r="D420">
        <v>4</v>
      </c>
      <c r="E420">
        <v>0.70399999999999996</v>
      </c>
      <c r="F420">
        <v>15.53</v>
      </c>
      <c r="G420">
        <v>0.20100000000000001</v>
      </c>
      <c r="L420">
        <v>3.57</v>
      </c>
      <c r="O420">
        <v>1</v>
      </c>
    </row>
    <row r="421" spans="1:15" x14ac:dyDescent="0.2">
      <c r="A421" t="s">
        <v>36</v>
      </c>
      <c r="B421">
        <v>3</v>
      </c>
      <c r="C421" s="1" t="s">
        <v>28</v>
      </c>
      <c r="D421">
        <v>5</v>
      </c>
      <c r="E421">
        <v>0.77200000000000002</v>
      </c>
      <c r="F421">
        <v>8.51</v>
      </c>
      <c r="G421">
        <v>0.19</v>
      </c>
      <c r="L421">
        <v>3.57</v>
      </c>
      <c r="O421">
        <v>1</v>
      </c>
    </row>
    <row r="422" spans="1:15" x14ac:dyDescent="0.2">
      <c r="A422" t="s">
        <v>36</v>
      </c>
      <c r="B422">
        <v>3</v>
      </c>
      <c r="C422" s="1" t="s">
        <v>28</v>
      </c>
      <c r="D422">
        <v>6</v>
      </c>
      <c r="E422">
        <v>0.59299999999999997</v>
      </c>
      <c r="F422">
        <v>14.92</v>
      </c>
      <c r="G422">
        <v>0.374</v>
      </c>
      <c r="L422">
        <v>3.57</v>
      </c>
      <c r="O422">
        <v>1</v>
      </c>
    </row>
    <row r="423" spans="1:15" x14ac:dyDescent="0.2">
      <c r="A423" t="s">
        <v>36</v>
      </c>
      <c r="B423">
        <v>3</v>
      </c>
      <c r="C423" s="1" t="s">
        <v>28</v>
      </c>
      <c r="D423">
        <v>7</v>
      </c>
      <c r="E423">
        <v>0.61199999999999999</v>
      </c>
      <c r="F423">
        <v>10.24</v>
      </c>
      <c r="G423">
        <v>0.218</v>
      </c>
      <c r="L423">
        <v>3.57</v>
      </c>
      <c r="O423">
        <v>1</v>
      </c>
    </row>
    <row r="424" spans="1:15" x14ac:dyDescent="0.2">
      <c r="A424" t="s">
        <v>36</v>
      </c>
      <c r="B424">
        <v>3</v>
      </c>
      <c r="C424" s="1" t="s">
        <v>28</v>
      </c>
      <c r="D424">
        <v>8</v>
      </c>
      <c r="E424">
        <v>0.57699999999999996</v>
      </c>
      <c r="F424">
        <v>14.99</v>
      </c>
      <c r="G424">
        <v>0.14299999999999999</v>
      </c>
      <c r="L424">
        <v>3.57</v>
      </c>
      <c r="O424">
        <v>1</v>
      </c>
    </row>
    <row r="425" spans="1:15" x14ac:dyDescent="0.2">
      <c r="A425" t="s">
        <v>36</v>
      </c>
      <c r="B425">
        <v>3</v>
      </c>
      <c r="C425" s="1" t="s">
        <v>28</v>
      </c>
      <c r="D425">
        <v>9</v>
      </c>
      <c r="E425">
        <v>0.53600000000000003</v>
      </c>
      <c r="F425">
        <v>7.64</v>
      </c>
      <c r="G425">
        <v>0.20899999999999999</v>
      </c>
      <c r="L425">
        <v>3.57</v>
      </c>
      <c r="O425">
        <v>1</v>
      </c>
    </row>
    <row r="426" spans="1:15" x14ac:dyDescent="0.2">
      <c r="A426" t="s">
        <v>36</v>
      </c>
      <c r="B426">
        <v>3</v>
      </c>
      <c r="C426" s="1" t="s">
        <v>38</v>
      </c>
      <c r="D426">
        <v>1</v>
      </c>
      <c r="E426">
        <v>0.64900000000000002</v>
      </c>
      <c r="F426">
        <v>14.49</v>
      </c>
      <c r="G426">
        <v>0.86</v>
      </c>
      <c r="L426">
        <v>3.57</v>
      </c>
      <c r="O426">
        <v>22</v>
      </c>
    </row>
    <row r="427" spans="1:15" x14ac:dyDescent="0.2">
      <c r="A427" t="s">
        <v>36</v>
      </c>
      <c r="B427">
        <v>3</v>
      </c>
      <c r="C427" s="1" t="s">
        <v>38</v>
      </c>
      <c r="D427">
        <v>2</v>
      </c>
      <c r="E427">
        <v>0.90700000000000003</v>
      </c>
      <c r="F427">
        <v>10.210000000000001</v>
      </c>
      <c r="G427">
        <v>0.52300000000000002</v>
      </c>
      <c r="L427">
        <v>3.57</v>
      </c>
      <c r="O427">
        <v>22</v>
      </c>
    </row>
    <row r="428" spans="1:15" x14ac:dyDescent="0.2">
      <c r="A428" t="s">
        <v>36</v>
      </c>
      <c r="B428">
        <v>3</v>
      </c>
      <c r="C428" s="1" t="s">
        <v>38</v>
      </c>
      <c r="D428">
        <v>3</v>
      </c>
      <c r="E428">
        <v>0.626</v>
      </c>
      <c r="F428">
        <v>12.36</v>
      </c>
      <c r="G428">
        <v>0.26300000000000001</v>
      </c>
      <c r="L428">
        <v>3.57</v>
      </c>
      <c r="O428">
        <v>22</v>
      </c>
    </row>
    <row r="429" spans="1:15" x14ac:dyDescent="0.2">
      <c r="A429" t="s">
        <v>36</v>
      </c>
      <c r="B429">
        <v>3</v>
      </c>
      <c r="C429" s="1" t="s">
        <v>38</v>
      </c>
      <c r="D429">
        <v>4</v>
      </c>
      <c r="E429">
        <v>0.85</v>
      </c>
      <c r="F429">
        <v>16.059999999999999</v>
      </c>
      <c r="G429">
        <v>0.48799999999999999</v>
      </c>
      <c r="L429">
        <v>3.57</v>
      </c>
      <c r="O429">
        <v>22</v>
      </c>
    </row>
    <row r="430" spans="1:15" x14ac:dyDescent="0.2">
      <c r="A430" t="s">
        <v>36</v>
      </c>
      <c r="B430">
        <v>3</v>
      </c>
      <c r="C430" s="1" t="s">
        <v>38</v>
      </c>
      <c r="D430">
        <v>5</v>
      </c>
      <c r="E430">
        <v>0.96499999999999997</v>
      </c>
      <c r="F430">
        <v>10.64</v>
      </c>
      <c r="G430">
        <v>0.41</v>
      </c>
      <c r="L430">
        <v>3.57</v>
      </c>
      <c r="O430">
        <v>22</v>
      </c>
    </row>
    <row r="431" spans="1:15" x14ac:dyDescent="0.2">
      <c r="A431" t="s">
        <v>36</v>
      </c>
      <c r="B431">
        <v>3</v>
      </c>
      <c r="C431" s="1" t="s">
        <v>38</v>
      </c>
      <c r="D431">
        <v>6</v>
      </c>
      <c r="E431">
        <v>0.73199999999999998</v>
      </c>
      <c r="F431">
        <v>10.37</v>
      </c>
      <c r="G431">
        <v>0.56100000000000005</v>
      </c>
      <c r="L431">
        <v>3.57</v>
      </c>
      <c r="O431">
        <v>22</v>
      </c>
    </row>
    <row r="432" spans="1:15" x14ac:dyDescent="0.2">
      <c r="A432" t="s">
        <v>36</v>
      </c>
      <c r="B432">
        <v>3</v>
      </c>
      <c r="C432" s="1" t="s">
        <v>38</v>
      </c>
      <c r="D432">
        <v>7</v>
      </c>
      <c r="E432">
        <v>0.83499999999999996</v>
      </c>
      <c r="F432">
        <v>10.37</v>
      </c>
      <c r="G432">
        <v>0.85399999999999998</v>
      </c>
      <c r="L432">
        <v>3.57</v>
      </c>
      <c r="O432">
        <v>22</v>
      </c>
    </row>
    <row r="433" spans="1:15" x14ac:dyDescent="0.2">
      <c r="A433" t="s">
        <v>36</v>
      </c>
      <c r="B433">
        <v>3</v>
      </c>
      <c r="C433" s="1" t="s">
        <v>38</v>
      </c>
      <c r="D433">
        <v>8</v>
      </c>
      <c r="E433">
        <v>0.58099999999999996</v>
      </c>
      <c r="F433">
        <v>12.68</v>
      </c>
      <c r="G433">
        <v>0.58799999999999997</v>
      </c>
      <c r="L433">
        <v>3.57</v>
      </c>
      <c r="O433">
        <v>22</v>
      </c>
    </row>
    <row r="434" spans="1:15" x14ac:dyDescent="0.2">
      <c r="A434" t="s">
        <v>36</v>
      </c>
      <c r="B434">
        <v>3</v>
      </c>
      <c r="C434" s="1" t="s">
        <v>38</v>
      </c>
      <c r="D434">
        <v>9</v>
      </c>
      <c r="E434">
        <v>0.58899999999999997</v>
      </c>
      <c r="F434">
        <v>10.82</v>
      </c>
      <c r="G434">
        <v>0.60199999999999998</v>
      </c>
      <c r="L434">
        <v>3.57</v>
      </c>
      <c r="O434">
        <v>22</v>
      </c>
    </row>
    <row r="435" spans="1:15" x14ac:dyDescent="0.2">
      <c r="A435" t="s">
        <v>36</v>
      </c>
      <c r="B435">
        <v>3</v>
      </c>
      <c r="C435" s="1" t="s">
        <v>13</v>
      </c>
      <c r="D435">
        <v>1</v>
      </c>
      <c r="E435">
        <v>2.1789999999999998</v>
      </c>
      <c r="F435">
        <v>10.08</v>
      </c>
      <c r="G435">
        <v>0.221</v>
      </c>
      <c r="L435">
        <v>3.57</v>
      </c>
      <c r="O435">
        <v>7</v>
      </c>
    </row>
    <row r="436" spans="1:15" x14ac:dyDescent="0.2">
      <c r="A436" t="s">
        <v>36</v>
      </c>
      <c r="B436">
        <v>3</v>
      </c>
      <c r="C436" s="1" t="s">
        <v>13</v>
      </c>
      <c r="D436">
        <v>2</v>
      </c>
      <c r="E436">
        <v>3.165</v>
      </c>
      <c r="F436">
        <v>12.99</v>
      </c>
      <c r="G436">
        <v>0.26200000000000001</v>
      </c>
      <c r="L436">
        <v>3.57</v>
      </c>
      <c r="O436">
        <v>7</v>
      </c>
    </row>
    <row r="437" spans="1:15" x14ac:dyDescent="0.2">
      <c r="A437" t="s">
        <v>36</v>
      </c>
      <c r="B437">
        <v>3</v>
      </c>
      <c r="C437" s="1" t="s">
        <v>13</v>
      </c>
      <c r="D437">
        <v>3</v>
      </c>
      <c r="E437">
        <v>3.1469999999999998</v>
      </c>
      <c r="F437">
        <v>11.62</v>
      </c>
      <c r="G437">
        <v>0.22500000000000001</v>
      </c>
      <c r="L437">
        <v>3.57</v>
      </c>
      <c r="O437">
        <v>7</v>
      </c>
    </row>
    <row r="438" spans="1:15" x14ac:dyDescent="0.2">
      <c r="A438" t="s">
        <v>36</v>
      </c>
      <c r="B438">
        <v>3</v>
      </c>
      <c r="C438" s="1" t="s">
        <v>13</v>
      </c>
      <c r="D438">
        <v>4</v>
      </c>
      <c r="E438">
        <v>2.9180000000000001</v>
      </c>
      <c r="F438">
        <v>5.89</v>
      </c>
      <c r="G438">
        <v>0.24299999999999999</v>
      </c>
      <c r="L438">
        <v>3.57</v>
      </c>
      <c r="O438">
        <v>7</v>
      </c>
    </row>
    <row r="439" spans="1:15" x14ac:dyDescent="0.2">
      <c r="A439" t="s">
        <v>36</v>
      </c>
      <c r="B439">
        <v>3</v>
      </c>
      <c r="C439" s="1" t="s">
        <v>13</v>
      </c>
      <c r="D439">
        <v>5</v>
      </c>
      <c r="E439">
        <v>2.379</v>
      </c>
      <c r="F439">
        <v>10.42</v>
      </c>
      <c r="G439">
        <v>0.17599999999999999</v>
      </c>
      <c r="L439">
        <v>3.57</v>
      </c>
      <c r="O439">
        <v>7</v>
      </c>
    </row>
    <row r="440" spans="1:15" x14ac:dyDescent="0.2">
      <c r="A440" t="s">
        <v>36</v>
      </c>
      <c r="B440">
        <v>3</v>
      </c>
      <c r="C440" s="1" t="s">
        <v>13</v>
      </c>
      <c r="D440">
        <v>6</v>
      </c>
      <c r="E440">
        <v>4.1589999999999998</v>
      </c>
      <c r="F440">
        <v>9.6</v>
      </c>
      <c r="G440">
        <v>0.188</v>
      </c>
      <c r="L440">
        <v>3.57</v>
      </c>
      <c r="O440">
        <v>7</v>
      </c>
    </row>
    <row r="441" spans="1:15" x14ac:dyDescent="0.2">
      <c r="A441" t="s">
        <v>36</v>
      </c>
      <c r="B441">
        <v>3</v>
      </c>
      <c r="C441" s="1" t="s">
        <v>13</v>
      </c>
      <c r="D441">
        <v>7</v>
      </c>
      <c r="E441">
        <v>2.9550000000000001</v>
      </c>
      <c r="F441">
        <v>11.64</v>
      </c>
      <c r="G441">
        <v>0.224</v>
      </c>
      <c r="L441">
        <v>3.57</v>
      </c>
      <c r="O441">
        <v>7</v>
      </c>
    </row>
    <row r="442" spans="1:15" x14ac:dyDescent="0.2">
      <c r="A442" t="s">
        <v>36</v>
      </c>
      <c r="B442">
        <v>3</v>
      </c>
      <c r="C442" s="1" t="s">
        <v>13</v>
      </c>
      <c r="D442">
        <v>8</v>
      </c>
      <c r="E442">
        <v>3.9329999999999998</v>
      </c>
      <c r="F442">
        <v>9.61</v>
      </c>
      <c r="G442">
        <v>0.26500000000000001</v>
      </c>
      <c r="L442">
        <v>3.57</v>
      </c>
      <c r="O442">
        <v>7</v>
      </c>
    </row>
    <row r="443" spans="1:15" x14ac:dyDescent="0.2">
      <c r="A443" t="s">
        <v>36</v>
      </c>
      <c r="B443">
        <v>3</v>
      </c>
      <c r="C443" s="1" t="s">
        <v>13</v>
      </c>
      <c r="D443">
        <v>9</v>
      </c>
      <c r="E443">
        <v>2.7320000000000002</v>
      </c>
      <c r="F443">
        <v>8.2200000000000006</v>
      </c>
      <c r="G443">
        <v>0.23899999999999999</v>
      </c>
      <c r="L443">
        <v>3.57</v>
      </c>
      <c r="O443">
        <v>7</v>
      </c>
    </row>
    <row r="444" spans="1:15" x14ac:dyDescent="0.2">
      <c r="A444" t="s">
        <v>36</v>
      </c>
      <c r="B444">
        <v>3</v>
      </c>
      <c r="C444" s="1" t="s">
        <v>39</v>
      </c>
      <c r="D444">
        <v>1</v>
      </c>
      <c r="E444">
        <v>2.8759999999999999</v>
      </c>
      <c r="F444">
        <v>9.7200000000000006</v>
      </c>
      <c r="G444">
        <v>0.251</v>
      </c>
      <c r="L444">
        <v>3.57</v>
      </c>
      <c r="O444">
        <v>41</v>
      </c>
    </row>
    <row r="445" spans="1:15" x14ac:dyDescent="0.2">
      <c r="A445" t="s">
        <v>36</v>
      </c>
      <c r="B445">
        <v>3</v>
      </c>
      <c r="C445" s="1" t="s">
        <v>39</v>
      </c>
      <c r="D445">
        <v>2</v>
      </c>
      <c r="E445">
        <v>2.8140000000000001</v>
      </c>
      <c r="F445">
        <v>9.15</v>
      </c>
      <c r="G445">
        <v>0.13300000000000001</v>
      </c>
      <c r="L445">
        <v>3.57</v>
      </c>
      <c r="O445">
        <v>41</v>
      </c>
    </row>
    <row r="446" spans="1:15" x14ac:dyDescent="0.2">
      <c r="A446" t="s">
        <v>36</v>
      </c>
      <c r="B446">
        <v>3</v>
      </c>
      <c r="C446" s="1" t="s">
        <v>39</v>
      </c>
      <c r="D446">
        <v>3</v>
      </c>
      <c r="E446">
        <v>3.681</v>
      </c>
      <c r="F446">
        <v>7.09</v>
      </c>
      <c r="G446">
        <v>0.127</v>
      </c>
      <c r="L446">
        <v>3.57</v>
      </c>
      <c r="O446">
        <v>41</v>
      </c>
    </row>
    <row r="447" spans="1:15" x14ac:dyDescent="0.2">
      <c r="A447" t="s">
        <v>36</v>
      </c>
      <c r="B447">
        <v>3</v>
      </c>
      <c r="C447" s="1" t="s">
        <v>39</v>
      </c>
      <c r="D447">
        <v>4</v>
      </c>
      <c r="E447">
        <v>1.956</v>
      </c>
      <c r="F447">
        <v>14.23</v>
      </c>
      <c r="G447">
        <v>0.16200000000000001</v>
      </c>
      <c r="L447">
        <v>3.57</v>
      </c>
      <c r="O447">
        <v>41</v>
      </c>
    </row>
    <row r="448" spans="1:15" x14ac:dyDescent="0.2">
      <c r="A448" t="s">
        <v>36</v>
      </c>
      <c r="B448">
        <v>3</v>
      </c>
      <c r="C448" s="1" t="s">
        <v>39</v>
      </c>
      <c r="D448">
        <v>5</v>
      </c>
      <c r="E448">
        <v>1.397</v>
      </c>
      <c r="F448">
        <v>11.49</v>
      </c>
      <c r="G448">
        <v>0.11799999999999999</v>
      </c>
      <c r="L448">
        <v>3.57</v>
      </c>
      <c r="O448">
        <v>41</v>
      </c>
    </row>
    <row r="449" spans="1:15" x14ac:dyDescent="0.2">
      <c r="A449" t="s">
        <v>36</v>
      </c>
      <c r="B449">
        <v>3</v>
      </c>
      <c r="C449" s="1" t="s">
        <v>39</v>
      </c>
      <c r="D449">
        <v>6</v>
      </c>
      <c r="E449">
        <v>2.2650000000000001</v>
      </c>
      <c r="F449">
        <v>11.73</v>
      </c>
      <c r="G449">
        <v>0.25800000000000001</v>
      </c>
      <c r="L449">
        <v>3.57</v>
      </c>
      <c r="O449">
        <v>41</v>
      </c>
    </row>
    <row r="450" spans="1:15" x14ac:dyDescent="0.2">
      <c r="A450" t="s">
        <v>36</v>
      </c>
      <c r="B450">
        <v>3</v>
      </c>
      <c r="C450" s="1" t="s">
        <v>39</v>
      </c>
      <c r="D450">
        <v>7</v>
      </c>
      <c r="E450">
        <v>1.879</v>
      </c>
      <c r="F450">
        <v>15.09</v>
      </c>
      <c r="G450">
        <v>0.182</v>
      </c>
      <c r="L450">
        <v>3.57</v>
      </c>
      <c r="O450">
        <v>41</v>
      </c>
    </row>
    <row r="451" spans="1:15" x14ac:dyDescent="0.2">
      <c r="A451" t="s">
        <v>36</v>
      </c>
      <c r="B451">
        <v>3</v>
      </c>
      <c r="C451" s="1" t="s">
        <v>39</v>
      </c>
      <c r="D451">
        <v>8</v>
      </c>
      <c r="E451">
        <v>1.778</v>
      </c>
      <c r="F451">
        <v>9.98</v>
      </c>
      <c r="G451">
        <v>0.11899999999999999</v>
      </c>
      <c r="L451">
        <v>3.57</v>
      </c>
      <c r="O451">
        <v>41</v>
      </c>
    </row>
    <row r="452" spans="1:15" x14ac:dyDescent="0.2">
      <c r="A452" t="s">
        <v>36</v>
      </c>
      <c r="B452">
        <v>3</v>
      </c>
      <c r="C452" s="1" t="s">
        <v>39</v>
      </c>
      <c r="D452">
        <v>9</v>
      </c>
      <c r="E452">
        <v>2.427</v>
      </c>
      <c r="F452">
        <v>10.67</v>
      </c>
      <c r="G452">
        <v>0.248</v>
      </c>
      <c r="L452">
        <v>3.57</v>
      </c>
      <c r="O452">
        <v>41</v>
      </c>
    </row>
    <row r="453" spans="1:15" x14ac:dyDescent="0.2">
      <c r="A453" t="s">
        <v>36</v>
      </c>
      <c r="B453">
        <v>3</v>
      </c>
      <c r="C453" s="1" t="s">
        <v>40</v>
      </c>
      <c r="D453">
        <v>1</v>
      </c>
      <c r="E453">
        <v>0.503</v>
      </c>
      <c r="F453">
        <v>49.4</v>
      </c>
      <c r="G453">
        <v>0.372</v>
      </c>
      <c r="L453">
        <v>3.57</v>
      </c>
      <c r="O453">
        <v>2</v>
      </c>
    </row>
    <row r="454" spans="1:15" x14ac:dyDescent="0.2">
      <c r="A454" t="s">
        <v>36</v>
      </c>
      <c r="B454">
        <v>3</v>
      </c>
      <c r="C454" s="1" t="s">
        <v>40</v>
      </c>
      <c r="D454">
        <v>2</v>
      </c>
      <c r="E454">
        <v>0.45200000000000001</v>
      </c>
      <c r="F454">
        <v>49.93</v>
      </c>
      <c r="G454">
        <v>0.26500000000000001</v>
      </c>
      <c r="L454">
        <v>3.57</v>
      </c>
      <c r="O454">
        <v>2</v>
      </c>
    </row>
    <row r="455" spans="1:15" x14ac:dyDescent="0.2">
      <c r="A455" t="s">
        <v>36</v>
      </c>
      <c r="B455">
        <v>3</v>
      </c>
      <c r="C455" s="1" t="s">
        <v>40</v>
      </c>
      <c r="D455">
        <v>3</v>
      </c>
      <c r="E455">
        <v>0.40699999999999997</v>
      </c>
      <c r="F455">
        <v>39.270000000000003</v>
      </c>
      <c r="G455">
        <v>0.26300000000000001</v>
      </c>
      <c r="L455">
        <v>3.57</v>
      </c>
      <c r="O455">
        <v>2</v>
      </c>
    </row>
    <row r="456" spans="1:15" x14ac:dyDescent="0.2">
      <c r="A456" t="s">
        <v>36</v>
      </c>
      <c r="B456">
        <v>3</v>
      </c>
      <c r="C456" s="1" t="s">
        <v>40</v>
      </c>
      <c r="D456">
        <v>4</v>
      </c>
      <c r="E456">
        <v>0.504</v>
      </c>
      <c r="F456">
        <v>62.58</v>
      </c>
      <c r="G456">
        <v>0.35699999999999998</v>
      </c>
      <c r="L456">
        <v>3.57</v>
      </c>
      <c r="O456">
        <v>2</v>
      </c>
    </row>
    <row r="457" spans="1:15" x14ac:dyDescent="0.2">
      <c r="A457" t="s">
        <v>36</v>
      </c>
      <c r="B457">
        <v>3</v>
      </c>
      <c r="C457" s="1" t="s">
        <v>40</v>
      </c>
      <c r="D457">
        <v>5</v>
      </c>
      <c r="E457">
        <v>0.48799999999999999</v>
      </c>
      <c r="F457">
        <v>60.78</v>
      </c>
      <c r="G457">
        <v>0.27200000000000002</v>
      </c>
      <c r="L457">
        <v>3.57</v>
      </c>
      <c r="O457">
        <v>2</v>
      </c>
    </row>
    <row r="458" spans="1:15" x14ac:dyDescent="0.2">
      <c r="A458" t="s">
        <v>36</v>
      </c>
      <c r="B458">
        <v>3</v>
      </c>
      <c r="C458" s="1" t="s">
        <v>40</v>
      </c>
      <c r="D458">
        <v>6</v>
      </c>
      <c r="E458">
        <v>0.48599999999999999</v>
      </c>
      <c r="F458">
        <v>46.56</v>
      </c>
      <c r="G458">
        <v>0.27600000000000002</v>
      </c>
      <c r="L458">
        <v>3.57</v>
      </c>
      <c r="O458">
        <v>2</v>
      </c>
    </row>
    <row r="459" spans="1:15" x14ac:dyDescent="0.2">
      <c r="A459" t="s">
        <v>36</v>
      </c>
      <c r="B459">
        <v>3</v>
      </c>
      <c r="C459" s="1" t="s">
        <v>40</v>
      </c>
      <c r="D459">
        <v>7</v>
      </c>
      <c r="E459">
        <v>0.441</v>
      </c>
      <c r="F459">
        <v>37.65</v>
      </c>
      <c r="G459">
        <v>0.315</v>
      </c>
      <c r="L459">
        <v>3.57</v>
      </c>
      <c r="O459">
        <v>2</v>
      </c>
    </row>
    <row r="460" spans="1:15" x14ac:dyDescent="0.2">
      <c r="A460" t="s">
        <v>36</v>
      </c>
      <c r="B460">
        <v>3</v>
      </c>
      <c r="C460" s="1" t="s">
        <v>40</v>
      </c>
      <c r="D460">
        <v>8</v>
      </c>
      <c r="E460">
        <v>0.47599999999999998</v>
      </c>
      <c r="F460">
        <v>56.47</v>
      </c>
      <c r="G460">
        <v>0.23</v>
      </c>
      <c r="L460">
        <v>3.57</v>
      </c>
      <c r="O460">
        <v>2</v>
      </c>
    </row>
    <row r="461" spans="1:15" x14ac:dyDescent="0.2">
      <c r="A461" t="s">
        <v>36</v>
      </c>
      <c r="B461">
        <v>3</v>
      </c>
      <c r="C461" s="1" t="s">
        <v>40</v>
      </c>
      <c r="D461">
        <v>9</v>
      </c>
      <c r="E461">
        <v>0.54400000000000004</v>
      </c>
      <c r="F461">
        <v>43.06</v>
      </c>
      <c r="G461">
        <v>0.28299999999999997</v>
      </c>
      <c r="L461">
        <v>3.57</v>
      </c>
      <c r="O461">
        <v>2</v>
      </c>
    </row>
    <row r="462" spans="1:15" x14ac:dyDescent="0.2">
      <c r="A462" t="s">
        <v>36</v>
      </c>
      <c r="B462">
        <v>4</v>
      </c>
      <c r="C462" s="1" t="s">
        <v>37</v>
      </c>
      <c r="D462">
        <v>1</v>
      </c>
      <c r="E462">
        <v>0.69499999999999995</v>
      </c>
      <c r="F462">
        <v>13.93</v>
      </c>
      <c r="G462">
        <v>0.46700000000000003</v>
      </c>
      <c r="L462">
        <v>2.25</v>
      </c>
      <c r="O462">
        <v>14</v>
      </c>
    </row>
    <row r="463" spans="1:15" x14ac:dyDescent="0.2">
      <c r="A463" t="s">
        <v>36</v>
      </c>
      <c r="B463">
        <v>4</v>
      </c>
      <c r="C463" s="1" t="s">
        <v>37</v>
      </c>
      <c r="D463">
        <v>2</v>
      </c>
      <c r="E463">
        <v>0.97099999999999997</v>
      </c>
      <c r="F463">
        <v>16.11</v>
      </c>
      <c r="G463">
        <v>0.64700000000000002</v>
      </c>
      <c r="L463">
        <v>2.25</v>
      </c>
      <c r="O463">
        <v>14</v>
      </c>
    </row>
    <row r="464" spans="1:15" x14ac:dyDescent="0.2">
      <c r="A464" t="s">
        <v>36</v>
      </c>
      <c r="B464">
        <v>4</v>
      </c>
      <c r="C464" s="1" t="s">
        <v>37</v>
      </c>
      <c r="D464">
        <v>3</v>
      </c>
      <c r="E464">
        <v>0.77300000000000002</v>
      </c>
      <c r="F464">
        <v>13.3</v>
      </c>
      <c r="G464">
        <v>0.47799999999999998</v>
      </c>
      <c r="L464">
        <v>2.25</v>
      </c>
      <c r="O464">
        <v>14</v>
      </c>
    </row>
    <row r="465" spans="1:15" x14ac:dyDescent="0.2">
      <c r="A465" t="s">
        <v>36</v>
      </c>
      <c r="B465">
        <v>4</v>
      </c>
      <c r="C465" s="1" t="s">
        <v>37</v>
      </c>
      <c r="D465">
        <v>4</v>
      </c>
      <c r="E465">
        <v>0.82099999999999995</v>
      </c>
      <c r="F465">
        <v>11.41</v>
      </c>
      <c r="G465">
        <v>0.75600000000000001</v>
      </c>
      <c r="L465">
        <v>2.25</v>
      </c>
      <c r="O465">
        <v>14</v>
      </c>
    </row>
    <row r="466" spans="1:15" x14ac:dyDescent="0.2">
      <c r="A466" t="s">
        <v>36</v>
      </c>
      <c r="B466">
        <v>4</v>
      </c>
      <c r="C466" s="1" t="s">
        <v>37</v>
      </c>
      <c r="D466">
        <v>5</v>
      </c>
      <c r="E466">
        <v>0.71</v>
      </c>
      <c r="F466">
        <v>14</v>
      </c>
      <c r="G466">
        <v>0.47199999999999998</v>
      </c>
      <c r="L466">
        <v>2.25</v>
      </c>
      <c r="O466">
        <v>14</v>
      </c>
    </row>
    <row r="467" spans="1:15" x14ac:dyDescent="0.2">
      <c r="A467" t="s">
        <v>36</v>
      </c>
      <c r="B467">
        <v>4</v>
      </c>
      <c r="C467" s="1" t="s">
        <v>37</v>
      </c>
      <c r="D467">
        <v>6</v>
      </c>
      <c r="E467">
        <v>0.64100000000000001</v>
      </c>
      <c r="F467">
        <v>16.809999999999999</v>
      </c>
      <c r="G467">
        <v>0.60299999999999998</v>
      </c>
      <c r="L467">
        <v>2.25</v>
      </c>
      <c r="O467">
        <v>14</v>
      </c>
    </row>
    <row r="468" spans="1:15" x14ac:dyDescent="0.2">
      <c r="A468" t="s">
        <v>36</v>
      </c>
      <c r="B468">
        <v>4</v>
      </c>
      <c r="C468" s="1" t="s">
        <v>37</v>
      </c>
      <c r="D468">
        <v>7</v>
      </c>
      <c r="E468">
        <v>0.754</v>
      </c>
      <c r="F468">
        <v>16.63</v>
      </c>
      <c r="G468">
        <v>0.56699999999999995</v>
      </c>
      <c r="L468">
        <v>2.25</v>
      </c>
      <c r="O468">
        <v>14</v>
      </c>
    </row>
    <row r="469" spans="1:15" x14ac:dyDescent="0.2">
      <c r="A469" t="s">
        <v>36</v>
      </c>
      <c r="B469">
        <v>4</v>
      </c>
      <c r="C469" s="1" t="s">
        <v>37</v>
      </c>
      <c r="D469">
        <v>8</v>
      </c>
      <c r="E469">
        <v>0.81399999999999995</v>
      </c>
      <c r="F469">
        <v>12.7</v>
      </c>
      <c r="G469">
        <v>0.48</v>
      </c>
      <c r="L469">
        <v>2.25</v>
      </c>
      <c r="O469">
        <v>14</v>
      </c>
    </row>
    <row r="470" spans="1:15" x14ac:dyDescent="0.2">
      <c r="A470" t="s">
        <v>36</v>
      </c>
      <c r="B470">
        <v>4</v>
      </c>
      <c r="C470" s="1" t="s">
        <v>37</v>
      </c>
      <c r="D470">
        <v>9</v>
      </c>
      <c r="E470">
        <v>0.58799999999999997</v>
      </c>
      <c r="F470">
        <v>15.59</v>
      </c>
      <c r="G470">
        <v>0.57399999999999995</v>
      </c>
      <c r="L470">
        <v>2.25</v>
      </c>
      <c r="O470">
        <v>14</v>
      </c>
    </row>
    <row r="471" spans="1:15" x14ac:dyDescent="0.2">
      <c r="A471" t="s">
        <v>36</v>
      </c>
      <c r="B471">
        <v>4</v>
      </c>
      <c r="C471" s="1" t="s">
        <v>28</v>
      </c>
      <c r="D471">
        <v>1</v>
      </c>
      <c r="E471">
        <v>0.63</v>
      </c>
      <c r="F471">
        <v>12.12</v>
      </c>
      <c r="G471">
        <v>0.215</v>
      </c>
      <c r="L471">
        <v>2.25</v>
      </c>
      <c r="O471">
        <v>1</v>
      </c>
    </row>
    <row r="472" spans="1:15" x14ac:dyDescent="0.2">
      <c r="A472" t="s">
        <v>36</v>
      </c>
      <c r="B472">
        <v>4</v>
      </c>
      <c r="C472" s="1" t="s">
        <v>28</v>
      </c>
      <c r="D472">
        <v>2</v>
      </c>
      <c r="E472">
        <v>0.64100000000000001</v>
      </c>
      <c r="F472">
        <v>10.56</v>
      </c>
      <c r="G472">
        <v>0.24299999999999999</v>
      </c>
      <c r="L472">
        <v>2.25</v>
      </c>
      <c r="O472">
        <v>1</v>
      </c>
    </row>
    <row r="473" spans="1:15" x14ac:dyDescent="0.2">
      <c r="A473" t="s">
        <v>36</v>
      </c>
      <c r="B473">
        <v>4</v>
      </c>
      <c r="C473" s="1" t="s">
        <v>28</v>
      </c>
      <c r="D473">
        <v>3</v>
      </c>
      <c r="E473">
        <v>0.69299999999999995</v>
      </c>
      <c r="F473">
        <v>13.04</v>
      </c>
      <c r="G473">
        <v>0.34599999999999997</v>
      </c>
      <c r="L473">
        <v>2.25</v>
      </c>
      <c r="O473">
        <v>1</v>
      </c>
    </row>
    <row r="474" spans="1:15" x14ac:dyDescent="0.2">
      <c r="A474" t="s">
        <v>36</v>
      </c>
      <c r="B474">
        <v>4</v>
      </c>
      <c r="C474" s="1" t="s">
        <v>28</v>
      </c>
      <c r="D474">
        <v>4</v>
      </c>
      <c r="E474">
        <v>0.67800000000000005</v>
      </c>
      <c r="F474">
        <v>16.39</v>
      </c>
      <c r="G474">
        <v>0.19500000000000001</v>
      </c>
      <c r="L474">
        <v>2.25</v>
      </c>
      <c r="O474">
        <v>1</v>
      </c>
    </row>
    <row r="475" spans="1:15" x14ac:dyDescent="0.2">
      <c r="A475" t="s">
        <v>36</v>
      </c>
      <c r="B475">
        <v>4</v>
      </c>
      <c r="C475" s="1" t="s">
        <v>28</v>
      </c>
      <c r="D475">
        <v>5</v>
      </c>
      <c r="E475">
        <v>0.74399999999999999</v>
      </c>
      <c r="F475">
        <v>8.99</v>
      </c>
      <c r="G475">
        <v>0.184</v>
      </c>
      <c r="L475">
        <v>2.25</v>
      </c>
      <c r="O475">
        <v>1</v>
      </c>
    </row>
    <row r="476" spans="1:15" x14ac:dyDescent="0.2">
      <c r="A476" t="s">
        <v>36</v>
      </c>
      <c r="B476">
        <v>4</v>
      </c>
      <c r="C476" s="1" t="s">
        <v>28</v>
      </c>
      <c r="D476">
        <v>6</v>
      </c>
      <c r="E476">
        <v>0.57099999999999995</v>
      </c>
      <c r="F476">
        <v>15.75</v>
      </c>
      <c r="G476">
        <v>0.36399999999999999</v>
      </c>
      <c r="L476">
        <v>2.25</v>
      </c>
      <c r="O476">
        <v>1</v>
      </c>
    </row>
    <row r="477" spans="1:15" x14ac:dyDescent="0.2">
      <c r="A477" t="s">
        <v>36</v>
      </c>
      <c r="B477">
        <v>4</v>
      </c>
      <c r="C477" s="1" t="s">
        <v>28</v>
      </c>
      <c r="D477">
        <v>7</v>
      </c>
      <c r="E477">
        <v>0.58899999999999997</v>
      </c>
      <c r="F477">
        <v>10.81</v>
      </c>
      <c r="G477">
        <v>0.21299999999999999</v>
      </c>
      <c r="L477">
        <v>2.25</v>
      </c>
      <c r="O477">
        <v>1</v>
      </c>
    </row>
    <row r="478" spans="1:15" x14ac:dyDescent="0.2">
      <c r="A478" t="s">
        <v>36</v>
      </c>
      <c r="B478">
        <v>4</v>
      </c>
      <c r="C478" s="1" t="s">
        <v>28</v>
      </c>
      <c r="D478">
        <v>8</v>
      </c>
      <c r="E478">
        <v>0.55600000000000005</v>
      </c>
      <c r="F478">
        <v>15.82</v>
      </c>
      <c r="G478">
        <v>0.14000000000000001</v>
      </c>
      <c r="L478">
        <v>2.25</v>
      </c>
      <c r="O478">
        <v>1</v>
      </c>
    </row>
    <row r="479" spans="1:15" x14ac:dyDescent="0.2">
      <c r="A479" t="s">
        <v>36</v>
      </c>
      <c r="B479">
        <v>4</v>
      </c>
      <c r="C479" s="1" t="s">
        <v>28</v>
      </c>
      <c r="D479">
        <v>9</v>
      </c>
      <c r="E479">
        <v>0.51700000000000002</v>
      </c>
      <c r="F479">
        <v>8.07</v>
      </c>
      <c r="G479">
        <v>0.20399999999999999</v>
      </c>
      <c r="L479">
        <v>2.25</v>
      </c>
      <c r="O479">
        <v>1</v>
      </c>
    </row>
    <row r="480" spans="1:15" x14ac:dyDescent="0.2">
      <c r="A480" t="s">
        <v>36</v>
      </c>
      <c r="B480">
        <v>4</v>
      </c>
      <c r="C480" s="1" t="s">
        <v>38</v>
      </c>
      <c r="D480">
        <v>1</v>
      </c>
      <c r="E480">
        <v>0.626</v>
      </c>
      <c r="F480">
        <v>15.29</v>
      </c>
      <c r="G480">
        <v>0.83599999999999997</v>
      </c>
      <c r="L480">
        <v>2.25</v>
      </c>
      <c r="O480">
        <v>21</v>
      </c>
    </row>
    <row r="481" spans="1:15" x14ac:dyDescent="0.2">
      <c r="A481" t="s">
        <v>36</v>
      </c>
      <c r="B481">
        <v>4</v>
      </c>
      <c r="C481" s="1" t="s">
        <v>38</v>
      </c>
      <c r="D481">
        <v>2</v>
      </c>
      <c r="E481">
        <v>0.874</v>
      </c>
      <c r="F481">
        <v>10.78</v>
      </c>
      <c r="G481">
        <v>0.50900000000000001</v>
      </c>
      <c r="L481">
        <v>2.25</v>
      </c>
      <c r="O481">
        <v>21</v>
      </c>
    </row>
    <row r="482" spans="1:15" x14ac:dyDescent="0.2">
      <c r="A482" t="s">
        <v>36</v>
      </c>
      <c r="B482">
        <v>4</v>
      </c>
      <c r="C482" s="1" t="s">
        <v>38</v>
      </c>
      <c r="D482">
        <v>3</v>
      </c>
      <c r="E482">
        <v>0.60299999999999998</v>
      </c>
      <c r="F482">
        <v>13.05</v>
      </c>
      <c r="G482">
        <v>0.25600000000000001</v>
      </c>
      <c r="L482">
        <v>2.25</v>
      </c>
      <c r="O482">
        <v>21</v>
      </c>
    </row>
    <row r="483" spans="1:15" x14ac:dyDescent="0.2">
      <c r="A483" t="s">
        <v>36</v>
      </c>
      <c r="B483">
        <v>4</v>
      </c>
      <c r="C483" s="1" t="s">
        <v>38</v>
      </c>
      <c r="D483">
        <v>4</v>
      </c>
      <c r="E483">
        <v>0.81899999999999995</v>
      </c>
      <c r="F483">
        <v>16.95</v>
      </c>
      <c r="G483">
        <v>0.47399999999999998</v>
      </c>
      <c r="L483">
        <v>2.25</v>
      </c>
      <c r="O483">
        <v>21</v>
      </c>
    </row>
    <row r="484" spans="1:15" x14ac:dyDescent="0.2">
      <c r="A484" t="s">
        <v>36</v>
      </c>
      <c r="B484">
        <v>4</v>
      </c>
      <c r="C484" s="1" t="s">
        <v>38</v>
      </c>
      <c r="D484">
        <v>5</v>
      </c>
      <c r="E484">
        <v>0.93</v>
      </c>
      <c r="F484">
        <v>11.23</v>
      </c>
      <c r="G484">
        <v>0.39900000000000002</v>
      </c>
      <c r="L484">
        <v>2.25</v>
      </c>
      <c r="O484">
        <v>21</v>
      </c>
    </row>
    <row r="485" spans="1:15" x14ac:dyDescent="0.2">
      <c r="A485" t="s">
        <v>36</v>
      </c>
      <c r="B485">
        <v>4</v>
      </c>
      <c r="C485" s="1" t="s">
        <v>38</v>
      </c>
      <c r="D485">
        <v>6</v>
      </c>
      <c r="E485">
        <v>0.70499999999999996</v>
      </c>
      <c r="F485">
        <v>10.95</v>
      </c>
      <c r="G485">
        <v>0.54600000000000004</v>
      </c>
      <c r="L485">
        <v>2.25</v>
      </c>
      <c r="O485">
        <v>21</v>
      </c>
    </row>
    <row r="486" spans="1:15" x14ac:dyDescent="0.2">
      <c r="A486" t="s">
        <v>36</v>
      </c>
      <c r="B486">
        <v>4</v>
      </c>
      <c r="C486" s="1" t="s">
        <v>38</v>
      </c>
      <c r="D486">
        <v>7</v>
      </c>
      <c r="E486">
        <v>0.80500000000000005</v>
      </c>
      <c r="F486">
        <v>10.94</v>
      </c>
      <c r="G486">
        <v>0.83099999999999996</v>
      </c>
      <c r="L486">
        <v>2.25</v>
      </c>
      <c r="O486">
        <v>21</v>
      </c>
    </row>
    <row r="487" spans="1:15" x14ac:dyDescent="0.2">
      <c r="A487" t="s">
        <v>36</v>
      </c>
      <c r="B487">
        <v>4</v>
      </c>
      <c r="C487" s="1" t="s">
        <v>38</v>
      </c>
      <c r="D487">
        <v>8</v>
      </c>
      <c r="E487">
        <v>0.56000000000000005</v>
      </c>
      <c r="F487">
        <v>13.39</v>
      </c>
      <c r="G487">
        <v>0.57199999999999995</v>
      </c>
      <c r="L487">
        <v>2.25</v>
      </c>
      <c r="O487">
        <v>21</v>
      </c>
    </row>
    <row r="488" spans="1:15" x14ac:dyDescent="0.2">
      <c r="A488" t="s">
        <v>36</v>
      </c>
      <c r="B488">
        <v>4</v>
      </c>
      <c r="C488" s="1" t="s">
        <v>38</v>
      </c>
      <c r="D488">
        <v>9</v>
      </c>
      <c r="E488">
        <v>0.56799999999999995</v>
      </c>
      <c r="F488">
        <v>11.42</v>
      </c>
      <c r="G488">
        <v>0.58599999999999997</v>
      </c>
      <c r="L488">
        <v>2.25</v>
      </c>
      <c r="O488">
        <v>21</v>
      </c>
    </row>
    <row r="489" spans="1:15" x14ac:dyDescent="0.2">
      <c r="A489" t="s">
        <v>36</v>
      </c>
      <c r="B489">
        <v>4</v>
      </c>
      <c r="C489" s="1" t="s">
        <v>13</v>
      </c>
      <c r="D489">
        <v>1</v>
      </c>
      <c r="E489">
        <v>2.1</v>
      </c>
      <c r="F489">
        <v>10.64</v>
      </c>
      <c r="G489">
        <v>0.215</v>
      </c>
      <c r="L489">
        <v>2.25</v>
      </c>
      <c r="O489">
        <v>4</v>
      </c>
    </row>
    <row r="490" spans="1:15" x14ac:dyDescent="0.2">
      <c r="A490" t="s">
        <v>36</v>
      </c>
      <c r="B490">
        <v>4</v>
      </c>
      <c r="C490" s="1" t="s">
        <v>13</v>
      </c>
      <c r="D490">
        <v>2</v>
      </c>
      <c r="E490">
        <v>3.05</v>
      </c>
      <c r="F490">
        <v>13.71</v>
      </c>
      <c r="G490">
        <v>0.255</v>
      </c>
      <c r="L490">
        <v>2.25</v>
      </c>
      <c r="O490">
        <v>4</v>
      </c>
    </row>
    <row r="491" spans="1:15" x14ac:dyDescent="0.2">
      <c r="A491" t="s">
        <v>36</v>
      </c>
      <c r="B491">
        <v>4</v>
      </c>
      <c r="C491" s="1" t="s">
        <v>13</v>
      </c>
      <c r="D491">
        <v>3</v>
      </c>
      <c r="E491">
        <v>3.0329999999999999</v>
      </c>
      <c r="F491">
        <v>12.27</v>
      </c>
      <c r="G491">
        <v>0.219</v>
      </c>
      <c r="L491">
        <v>2.25</v>
      </c>
      <c r="O491">
        <v>4</v>
      </c>
    </row>
    <row r="492" spans="1:15" x14ac:dyDescent="0.2">
      <c r="A492" t="s">
        <v>36</v>
      </c>
      <c r="B492">
        <v>4</v>
      </c>
      <c r="C492" s="1" t="s">
        <v>13</v>
      </c>
      <c r="D492">
        <v>4</v>
      </c>
      <c r="E492">
        <v>2.8119999999999998</v>
      </c>
      <c r="F492">
        <v>6.22</v>
      </c>
      <c r="G492">
        <v>0.23599999999999999</v>
      </c>
      <c r="L492">
        <v>2.25</v>
      </c>
      <c r="O492">
        <v>4</v>
      </c>
    </row>
    <row r="493" spans="1:15" x14ac:dyDescent="0.2">
      <c r="A493" t="s">
        <v>36</v>
      </c>
      <c r="B493">
        <v>4</v>
      </c>
      <c r="C493" s="1" t="s">
        <v>13</v>
      </c>
      <c r="D493">
        <v>5</v>
      </c>
      <c r="E493">
        <v>2.2919999999999998</v>
      </c>
      <c r="F493">
        <v>11</v>
      </c>
      <c r="G493">
        <v>0.17100000000000001</v>
      </c>
      <c r="L493">
        <v>2.25</v>
      </c>
      <c r="O493">
        <v>4</v>
      </c>
    </row>
    <row r="494" spans="1:15" x14ac:dyDescent="0.2">
      <c r="A494" t="s">
        <v>36</v>
      </c>
      <c r="B494">
        <v>4</v>
      </c>
      <c r="C494" s="1" t="s">
        <v>13</v>
      </c>
      <c r="D494">
        <v>6</v>
      </c>
      <c r="E494">
        <v>4.008</v>
      </c>
      <c r="F494">
        <v>10.14</v>
      </c>
      <c r="G494">
        <v>0.183</v>
      </c>
      <c r="L494">
        <v>2.25</v>
      </c>
      <c r="O494">
        <v>4</v>
      </c>
    </row>
    <row r="495" spans="1:15" x14ac:dyDescent="0.2">
      <c r="A495" t="s">
        <v>36</v>
      </c>
      <c r="B495">
        <v>4</v>
      </c>
      <c r="C495" s="1" t="s">
        <v>13</v>
      </c>
      <c r="D495">
        <v>7</v>
      </c>
      <c r="E495">
        <v>2.8479999999999999</v>
      </c>
      <c r="F495">
        <v>12.29</v>
      </c>
      <c r="G495">
        <v>0.218</v>
      </c>
      <c r="L495">
        <v>2.25</v>
      </c>
      <c r="O495">
        <v>4</v>
      </c>
    </row>
    <row r="496" spans="1:15" x14ac:dyDescent="0.2">
      <c r="A496" t="s">
        <v>36</v>
      </c>
      <c r="B496">
        <v>4</v>
      </c>
      <c r="C496" s="1" t="s">
        <v>13</v>
      </c>
      <c r="D496">
        <v>8</v>
      </c>
      <c r="E496">
        <v>3.79</v>
      </c>
      <c r="F496">
        <v>10.14</v>
      </c>
      <c r="G496">
        <v>0.25800000000000001</v>
      </c>
      <c r="L496">
        <v>2.25</v>
      </c>
      <c r="O496">
        <v>4</v>
      </c>
    </row>
    <row r="497" spans="1:15" x14ac:dyDescent="0.2">
      <c r="A497" t="s">
        <v>36</v>
      </c>
      <c r="B497">
        <v>4</v>
      </c>
      <c r="C497" s="1" t="s">
        <v>13</v>
      </c>
      <c r="D497">
        <v>9</v>
      </c>
      <c r="E497">
        <v>2.633</v>
      </c>
      <c r="F497">
        <v>8.67</v>
      </c>
      <c r="G497">
        <v>0.23300000000000001</v>
      </c>
      <c r="L497">
        <v>2.25</v>
      </c>
      <c r="O497">
        <v>4</v>
      </c>
    </row>
    <row r="498" spans="1:15" x14ac:dyDescent="0.2">
      <c r="A498" t="s">
        <v>36</v>
      </c>
      <c r="B498">
        <v>4</v>
      </c>
      <c r="C498" s="1" t="s">
        <v>39</v>
      </c>
      <c r="D498">
        <v>1</v>
      </c>
      <c r="E498">
        <v>2.7709999999999999</v>
      </c>
      <c r="F498">
        <v>10.26</v>
      </c>
      <c r="G498">
        <v>0.24399999999999999</v>
      </c>
      <c r="L498">
        <v>2.25</v>
      </c>
      <c r="O498">
        <v>7</v>
      </c>
    </row>
    <row r="499" spans="1:15" x14ac:dyDescent="0.2">
      <c r="A499" t="s">
        <v>36</v>
      </c>
      <c r="B499">
        <v>4</v>
      </c>
      <c r="C499" s="1" t="s">
        <v>39</v>
      </c>
      <c r="D499">
        <v>2</v>
      </c>
      <c r="E499">
        <v>2.7109999999999999</v>
      </c>
      <c r="F499">
        <v>9.66</v>
      </c>
      <c r="G499">
        <v>0.13</v>
      </c>
      <c r="L499">
        <v>2.25</v>
      </c>
      <c r="O499">
        <v>7</v>
      </c>
    </row>
    <row r="500" spans="1:15" x14ac:dyDescent="0.2">
      <c r="A500" t="s">
        <v>36</v>
      </c>
      <c r="B500">
        <v>4</v>
      </c>
      <c r="C500" s="1" t="s">
        <v>39</v>
      </c>
      <c r="D500">
        <v>3</v>
      </c>
      <c r="E500">
        <v>3.5470000000000002</v>
      </c>
      <c r="F500">
        <v>7.49</v>
      </c>
      <c r="G500">
        <v>0.123</v>
      </c>
      <c r="L500">
        <v>2.25</v>
      </c>
      <c r="O500">
        <v>7</v>
      </c>
    </row>
    <row r="501" spans="1:15" x14ac:dyDescent="0.2">
      <c r="A501" t="s">
        <v>36</v>
      </c>
      <c r="B501">
        <v>4</v>
      </c>
      <c r="C501" s="1" t="s">
        <v>39</v>
      </c>
      <c r="D501">
        <v>4</v>
      </c>
      <c r="E501">
        <v>1.8839999999999999</v>
      </c>
      <c r="F501">
        <v>15.02</v>
      </c>
      <c r="G501">
        <v>0.158</v>
      </c>
      <c r="L501">
        <v>2.25</v>
      </c>
      <c r="O501">
        <v>7</v>
      </c>
    </row>
    <row r="502" spans="1:15" x14ac:dyDescent="0.2">
      <c r="A502" t="s">
        <v>36</v>
      </c>
      <c r="B502">
        <v>4</v>
      </c>
      <c r="C502" s="1" t="s">
        <v>39</v>
      </c>
      <c r="D502">
        <v>5</v>
      </c>
      <c r="E502">
        <v>1.3460000000000001</v>
      </c>
      <c r="F502">
        <v>12.13</v>
      </c>
      <c r="G502">
        <v>0.114</v>
      </c>
      <c r="L502">
        <v>2.25</v>
      </c>
      <c r="O502">
        <v>7</v>
      </c>
    </row>
    <row r="503" spans="1:15" x14ac:dyDescent="0.2">
      <c r="A503" t="s">
        <v>36</v>
      </c>
      <c r="B503">
        <v>4</v>
      </c>
      <c r="C503" s="1" t="s">
        <v>39</v>
      </c>
      <c r="D503">
        <v>6</v>
      </c>
      <c r="E503">
        <v>2.1829999999999998</v>
      </c>
      <c r="F503">
        <v>12.39</v>
      </c>
      <c r="G503">
        <v>0.251</v>
      </c>
      <c r="L503">
        <v>2.25</v>
      </c>
      <c r="O503">
        <v>7</v>
      </c>
    </row>
    <row r="504" spans="1:15" x14ac:dyDescent="0.2">
      <c r="A504" t="s">
        <v>36</v>
      </c>
      <c r="B504">
        <v>4</v>
      </c>
      <c r="C504" s="1" t="s">
        <v>39</v>
      </c>
      <c r="D504">
        <v>7</v>
      </c>
      <c r="E504">
        <v>1.81</v>
      </c>
      <c r="F504">
        <v>15.93</v>
      </c>
      <c r="G504">
        <v>0.17699999999999999</v>
      </c>
      <c r="L504">
        <v>2.25</v>
      </c>
      <c r="O504">
        <v>7</v>
      </c>
    </row>
    <row r="505" spans="1:15" x14ac:dyDescent="0.2">
      <c r="A505" t="s">
        <v>36</v>
      </c>
      <c r="B505">
        <v>4</v>
      </c>
      <c r="C505" s="1" t="s">
        <v>39</v>
      </c>
      <c r="D505">
        <v>8</v>
      </c>
      <c r="E505">
        <v>1.7130000000000001</v>
      </c>
      <c r="F505">
        <v>10.54</v>
      </c>
      <c r="G505">
        <v>0.11600000000000001</v>
      </c>
      <c r="L505">
        <v>2.25</v>
      </c>
      <c r="O505">
        <v>7</v>
      </c>
    </row>
    <row r="506" spans="1:15" x14ac:dyDescent="0.2">
      <c r="A506" t="s">
        <v>36</v>
      </c>
      <c r="B506">
        <v>4</v>
      </c>
      <c r="C506" s="1" t="s">
        <v>39</v>
      </c>
      <c r="D506">
        <v>9</v>
      </c>
      <c r="E506">
        <v>2.3380000000000001</v>
      </c>
      <c r="F506">
        <v>11.26</v>
      </c>
      <c r="G506">
        <v>0.24099999999999999</v>
      </c>
      <c r="L506">
        <v>2.25</v>
      </c>
      <c r="O506">
        <v>7</v>
      </c>
    </row>
    <row r="507" spans="1:15" x14ac:dyDescent="0.2">
      <c r="A507" t="s">
        <v>36</v>
      </c>
      <c r="B507">
        <v>4</v>
      </c>
      <c r="C507" s="1" t="s">
        <v>40</v>
      </c>
      <c r="D507">
        <v>1</v>
      </c>
      <c r="E507">
        <v>0.48399999999999999</v>
      </c>
      <c r="F507">
        <v>52.16</v>
      </c>
      <c r="G507">
        <v>0.36199999999999999</v>
      </c>
      <c r="L507">
        <v>2.25</v>
      </c>
      <c r="O507">
        <v>45</v>
      </c>
    </row>
    <row r="508" spans="1:15" x14ac:dyDescent="0.2">
      <c r="A508" t="s">
        <v>36</v>
      </c>
      <c r="B508">
        <v>4</v>
      </c>
      <c r="C508" s="1" t="s">
        <v>40</v>
      </c>
      <c r="D508">
        <v>2</v>
      </c>
      <c r="E508">
        <v>0.436</v>
      </c>
      <c r="F508">
        <v>52.71</v>
      </c>
      <c r="G508">
        <v>0.25800000000000001</v>
      </c>
      <c r="L508">
        <v>2.25</v>
      </c>
      <c r="O508">
        <v>45</v>
      </c>
    </row>
    <row r="509" spans="1:15" x14ac:dyDescent="0.2">
      <c r="A509" t="s">
        <v>36</v>
      </c>
      <c r="B509">
        <v>4</v>
      </c>
      <c r="C509" s="1" t="s">
        <v>40</v>
      </c>
      <c r="D509">
        <v>3</v>
      </c>
      <c r="E509">
        <v>0.39200000000000002</v>
      </c>
      <c r="F509">
        <v>41.46</v>
      </c>
      <c r="G509">
        <v>0.25600000000000001</v>
      </c>
      <c r="L509">
        <v>2.25</v>
      </c>
      <c r="O509">
        <v>45</v>
      </c>
    </row>
    <row r="510" spans="1:15" x14ac:dyDescent="0.2">
      <c r="A510" t="s">
        <v>36</v>
      </c>
      <c r="B510">
        <v>4</v>
      </c>
      <c r="C510" s="1" t="s">
        <v>40</v>
      </c>
      <c r="D510">
        <v>4</v>
      </c>
      <c r="E510">
        <v>0.48599999999999999</v>
      </c>
      <c r="F510">
        <v>66.069999999999993</v>
      </c>
      <c r="G510">
        <v>0.34699999999999998</v>
      </c>
      <c r="L510">
        <v>2.25</v>
      </c>
      <c r="O510">
        <v>45</v>
      </c>
    </row>
    <row r="511" spans="1:15" x14ac:dyDescent="0.2">
      <c r="A511" t="s">
        <v>36</v>
      </c>
      <c r="B511">
        <v>4</v>
      </c>
      <c r="C511" s="1" t="s">
        <v>40</v>
      </c>
      <c r="D511">
        <v>5</v>
      </c>
      <c r="E511">
        <v>0.47</v>
      </c>
      <c r="F511">
        <v>64.17</v>
      </c>
      <c r="G511">
        <v>0.26500000000000001</v>
      </c>
      <c r="L511">
        <v>2.25</v>
      </c>
      <c r="O511">
        <v>45</v>
      </c>
    </row>
    <row r="512" spans="1:15" x14ac:dyDescent="0.2">
      <c r="A512" t="s">
        <v>36</v>
      </c>
      <c r="B512">
        <v>4</v>
      </c>
      <c r="C512" s="1" t="s">
        <v>40</v>
      </c>
      <c r="D512">
        <v>6</v>
      </c>
      <c r="E512">
        <v>0.46899999999999997</v>
      </c>
      <c r="F512">
        <v>49.15</v>
      </c>
      <c r="G512">
        <v>0.26800000000000002</v>
      </c>
      <c r="L512">
        <v>2.25</v>
      </c>
      <c r="O512">
        <v>45</v>
      </c>
    </row>
    <row r="513" spans="1:15" x14ac:dyDescent="0.2">
      <c r="A513" t="s">
        <v>36</v>
      </c>
      <c r="B513">
        <v>4</v>
      </c>
      <c r="C513" s="1" t="s">
        <v>40</v>
      </c>
      <c r="D513">
        <v>7</v>
      </c>
      <c r="E513">
        <v>0.42499999999999999</v>
      </c>
      <c r="F513">
        <v>39.74</v>
      </c>
      <c r="G513">
        <v>0.307</v>
      </c>
      <c r="L513">
        <v>2.25</v>
      </c>
      <c r="O513">
        <v>45</v>
      </c>
    </row>
    <row r="514" spans="1:15" x14ac:dyDescent="0.2">
      <c r="A514" t="s">
        <v>36</v>
      </c>
      <c r="B514">
        <v>4</v>
      </c>
      <c r="C514" s="1" t="s">
        <v>40</v>
      </c>
      <c r="D514">
        <v>8</v>
      </c>
      <c r="E514">
        <v>0.45900000000000002</v>
      </c>
      <c r="F514">
        <v>59.62</v>
      </c>
      <c r="G514">
        <v>0.224</v>
      </c>
      <c r="L514">
        <v>2.25</v>
      </c>
      <c r="O514">
        <v>45</v>
      </c>
    </row>
    <row r="515" spans="1:15" x14ac:dyDescent="0.2">
      <c r="A515" t="s">
        <v>36</v>
      </c>
      <c r="B515">
        <v>4</v>
      </c>
      <c r="C515" s="1" t="s">
        <v>40</v>
      </c>
      <c r="D515">
        <v>9</v>
      </c>
      <c r="E515">
        <v>0.52400000000000002</v>
      </c>
      <c r="F515">
        <v>45.46</v>
      </c>
      <c r="G515">
        <v>0.27600000000000002</v>
      </c>
      <c r="L515">
        <v>2.25</v>
      </c>
      <c r="O515">
        <v>45</v>
      </c>
    </row>
    <row r="516" spans="1:15" x14ac:dyDescent="0.2">
      <c r="A516" t="s">
        <v>36</v>
      </c>
      <c r="B516">
        <v>4</v>
      </c>
      <c r="C516" s="1" t="s">
        <v>41</v>
      </c>
      <c r="D516">
        <v>1</v>
      </c>
      <c r="E516">
        <v>0.49199999999999999</v>
      </c>
      <c r="F516">
        <v>41.88</v>
      </c>
      <c r="G516">
        <v>0.24299999999999999</v>
      </c>
      <c r="L516">
        <v>2.25</v>
      </c>
      <c r="O516">
        <v>2</v>
      </c>
    </row>
    <row r="517" spans="1:15" x14ac:dyDescent="0.2">
      <c r="A517" t="s">
        <v>36</v>
      </c>
      <c r="B517">
        <v>4</v>
      </c>
      <c r="C517" s="1" t="s">
        <v>41</v>
      </c>
      <c r="D517">
        <v>2</v>
      </c>
      <c r="E517">
        <v>0.46</v>
      </c>
      <c r="F517">
        <v>58.78</v>
      </c>
      <c r="G517">
        <v>0.26200000000000001</v>
      </c>
      <c r="L517">
        <v>2.25</v>
      </c>
      <c r="O517">
        <v>2</v>
      </c>
    </row>
    <row r="518" spans="1:15" x14ac:dyDescent="0.2">
      <c r="A518" t="s">
        <v>36</v>
      </c>
      <c r="B518">
        <v>4</v>
      </c>
      <c r="C518" s="1" t="s">
        <v>41</v>
      </c>
      <c r="D518">
        <v>3</v>
      </c>
      <c r="E518">
        <v>0.38500000000000001</v>
      </c>
      <c r="F518">
        <v>38.36</v>
      </c>
      <c r="G518">
        <v>0.375</v>
      </c>
      <c r="L518">
        <v>2.25</v>
      </c>
      <c r="O518">
        <v>2</v>
      </c>
    </row>
    <row r="519" spans="1:15" x14ac:dyDescent="0.2">
      <c r="A519" t="s">
        <v>36</v>
      </c>
      <c r="B519">
        <v>4</v>
      </c>
      <c r="C519" s="1" t="s">
        <v>41</v>
      </c>
      <c r="D519">
        <v>4</v>
      </c>
      <c r="E519">
        <v>0.45</v>
      </c>
      <c r="F519">
        <v>38.06</v>
      </c>
      <c r="G519">
        <v>0.24299999999999999</v>
      </c>
      <c r="L519">
        <v>2.25</v>
      </c>
      <c r="O519">
        <v>2</v>
      </c>
    </row>
    <row r="520" spans="1:15" x14ac:dyDescent="0.2">
      <c r="A520" t="s">
        <v>36</v>
      </c>
      <c r="B520">
        <v>4</v>
      </c>
      <c r="C520" s="1" t="s">
        <v>41</v>
      </c>
      <c r="D520">
        <v>5</v>
      </c>
      <c r="E520">
        <v>0.45700000000000002</v>
      </c>
      <c r="F520">
        <v>55.95</v>
      </c>
      <c r="G520">
        <v>0.33400000000000002</v>
      </c>
      <c r="L520">
        <v>2.25</v>
      </c>
      <c r="O520">
        <v>2</v>
      </c>
    </row>
    <row r="521" spans="1:15" x14ac:dyDescent="0.2">
      <c r="A521" t="s">
        <v>36</v>
      </c>
      <c r="B521">
        <v>4</v>
      </c>
      <c r="C521" s="1" t="s">
        <v>41</v>
      </c>
      <c r="D521">
        <v>6</v>
      </c>
      <c r="E521">
        <v>0.505</v>
      </c>
      <c r="F521">
        <v>65.260000000000005</v>
      </c>
      <c r="G521">
        <v>0.29299999999999998</v>
      </c>
      <c r="L521">
        <v>2.25</v>
      </c>
      <c r="O521">
        <v>2</v>
      </c>
    </row>
    <row r="522" spans="1:15" x14ac:dyDescent="0.2">
      <c r="A522" t="s">
        <v>36</v>
      </c>
      <c r="B522">
        <v>4</v>
      </c>
      <c r="C522" s="1" t="s">
        <v>41</v>
      </c>
      <c r="D522">
        <v>7</v>
      </c>
      <c r="E522">
        <v>0.44900000000000001</v>
      </c>
      <c r="F522">
        <v>54.24</v>
      </c>
      <c r="G522">
        <v>0.215</v>
      </c>
      <c r="L522">
        <v>2.25</v>
      </c>
      <c r="O522">
        <v>2</v>
      </c>
    </row>
    <row r="523" spans="1:15" x14ac:dyDescent="0.2">
      <c r="A523" t="s">
        <v>36</v>
      </c>
      <c r="B523">
        <v>4</v>
      </c>
      <c r="C523" s="1" t="s">
        <v>41</v>
      </c>
      <c r="D523">
        <v>8</v>
      </c>
      <c r="E523">
        <v>0.49</v>
      </c>
      <c r="F523">
        <v>61.74</v>
      </c>
      <c r="G523">
        <v>0.223</v>
      </c>
      <c r="L523">
        <v>2.25</v>
      </c>
      <c r="O523">
        <v>2</v>
      </c>
    </row>
    <row r="524" spans="1:15" x14ac:dyDescent="0.2">
      <c r="A524" t="s">
        <v>36</v>
      </c>
      <c r="B524">
        <v>4</v>
      </c>
      <c r="C524" s="1" t="s">
        <v>41</v>
      </c>
      <c r="D524">
        <v>9</v>
      </c>
      <c r="E524">
        <v>0.45400000000000001</v>
      </c>
      <c r="F524">
        <v>58.23</v>
      </c>
      <c r="G524">
        <v>0.23400000000000001</v>
      </c>
      <c r="L524">
        <v>2.25</v>
      </c>
      <c r="O524">
        <v>2</v>
      </c>
    </row>
    <row r="525" spans="1:15" x14ac:dyDescent="0.2">
      <c r="A525" t="s">
        <v>36</v>
      </c>
      <c r="B525">
        <v>4</v>
      </c>
      <c r="C525" s="1" t="s">
        <v>42</v>
      </c>
      <c r="D525">
        <v>1</v>
      </c>
      <c r="E525">
        <v>0.29199999999999998</v>
      </c>
      <c r="F525">
        <v>10.45</v>
      </c>
      <c r="G525">
        <v>0.60299999999999998</v>
      </c>
      <c r="L525">
        <v>2.25</v>
      </c>
      <c r="O525">
        <v>3</v>
      </c>
    </row>
    <row r="526" spans="1:15" x14ac:dyDescent="0.2">
      <c r="A526" t="s">
        <v>36</v>
      </c>
      <c r="B526">
        <v>4</v>
      </c>
      <c r="C526" s="1" t="s">
        <v>42</v>
      </c>
      <c r="D526">
        <v>2</v>
      </c>
      <c r="E526">
        <v>0.29899999999999999</v>
      </c>
      <c r="F526">
        <v>12.87</v>
      </c>
      <c r="G526">
        <v>0.52900000000000003</v>
      </c>
      <c r="L526">
        <v>2.25</v>
      </c>
      <c r="O526">
        <v>3</v>
      </c>
    </row>
    <row r="527" spans="1:15" x14ac:dyDescent="0.2">
      <c r="A527" t="s">
        <v>36</v>
      </c>
      <c r="B527">
        <v>4</v>
      </c>
      <c r="C527" s="1" t="s">
        <v>42</v>
      </c>
      <c r="D527">
        <v>3</v>
      </c>
      <c r="E527">
        <v>0.32700000000000001</v>
      </c>
      <c r="F527">
        <v>9.2899999999999991</v>
      </c>
      <c r="G527">
        <v>0.52100000000000002</v>
      </c>
      <c r="L527">
        <v>2.25</v>
      </c>
      <c r="O527">
        <v>3</v>
      </c>
    </row>
    <row r="528" spans="1:15" x14ac:dyDescent="0.2">
      <c r="A528" t="s">
        <v>36</v>
      </c>
      <c r="B528">
        <v>4</v>
      </c>
      <c r="C528" s="1" t="s">
        <v>42</v>
      </c>
      <c r="D528">
        <v>4</v>
      </c>
      <c r="E528">
        <v>0.39200000000000002</v>
      </c>
      <c r="F528">
        <v>13.18</v>
      </c>
      <c r="G528">
        <v>0.34399999999999997</v>
      </c>
      <c r="L528">
        <v>2.25</v>
      </c>
      <c r="O528">
        <v>3</v>
      </c>
    </row>
    <row r="529" spans="1:15" x14ac:dyDescent="0.2">
      <c r="A529" t="s">
        <v>36</v>
      </c>
      <c r="B529">
        <v>4</v>
      </c>
      <c r="C529" s="1" t="s">
        <v>42</v>
      </c>
      <c r="D529">
        <v>5</v>
      </c>
      <c r="E529">
        <v>0.27200000000000002</v>
      </c>
      <c r="F529">
        <v>12.03</v>
      </c>
      <c r="G529">
        <v>0.98899999999999999</v>
      </c>
      <c r="L529">
        <v>2.25</v>
      </c>
      <c r="O529">
        <v>3</v>
      </c>
    </row>
    <row r="530" spans="1:15" x14ac:dyDescent="0.2">
      <c r="A530" t="s">
        <v>36</v>
      </c>
      <c r="B530">
        <v>4</v>
      </c>
      <c r="C530" s="1" t="s">
        <v>42</v>
      </c>
      <c r="D530">
        <v>6</v>
      </c>
      <c r="E530">
        <v>0.33</v>
      </c>
      <c r="F530">
        <v>8.23</v>
      </c>
      <c r="G530">
        <v>0.67</v>
      </c>
      <c r="L530">
        <v>2.25</v>
      </c>
      <c r="O530">
        <v>3</v>
      </c>
    </row>
    <row r="531" spans="1:15" x14ac:dyDescent="0.2">
      <c r="A531" t="s">
        <v>36</v>
      </c>
      <c r="B531">
        <v>4</v>
      </c>
      <c r="C531" s="1" t="s">
        <v>42</v>
      </c>
      <c r="D531">
        <v>7</v>
      </c>
      <c r="E531">
        <v>0.36799999999999999</v>
      </c>
      <c r="F531">
        <v>12.93</v>
      </c>
      <c r="G531">
        <v>0.77200000000000002</v>
      </c>
      <c r="L531">
        <v>2.25</v>
      </c>
      <c r="O531">
        <v>3</v>
      </c>
    </row>
    <row r="532" spans="1:15" x14ac:dyDescent="0.2">
      <c r="A532" t="s">
        <v>36</v>
      </c>
      <c r="B532">
        <v>4</v>
      </c>
      <c r="C532" s="1" t="s">
        <v>42</v>
      </c>
      <c r="D532">
        <v>8</v>
      </c>
      <c r="E532">
        <v>0.32600000000000001</v>
      </c>
      <c r="F532">
        <v>7.44</v>
      </c>
      <c r="G532">
        <v>0.72599999999999998</v>
      </c>
      <c r="L532">
        <v>2.25</v>
      </c>
      <c r="O532">
        <v>3</v>
      </c>
    </row>
    <row r="533" spans="1:15" x14ac:dyDescent="0.2">
      <c r="A533" t="s">
        <v>36</v>
      </c>
      <c r="B533">
        <v>4</v>
      </c>
      <c r="C533" s="1" t="s">
        <v>42</v>
      </c>
      <c r="D533">
        <v>9</v>
      </c>
      <c r="E533">
        <v>0.30599999999999999</v>
      </c>
      <c r="F533">
        <v>8.23</v>
      </c>
      <c r="G533">
        <v>0.88800000000000001</v>
      </c>
      <c r="L533">
        <v>2.25</v>
      </c>
      <c r="O533">
        <v>3</v>
      </c>
    </row>
    <row r="534" spans="1:15" x14ac:dyDescent="0.2">
      <c r="A534" t="s">
        <v>36</v>
      </c>
      <c r="B534">
        <v>4</v>
      </c>
      <c r="C534" s="1" t="s">
        <v>43</v>
      </c>
      <c r="D534">
        <v>1</v>
      </c>
      <c r="E534">
        <v>0.78500000000000003</v>
      </c>
      <c r="F534">
        <v>6.37</v>
      </c>
      <c r="G534">
        <v>1.534</v>
      </c>
      <c r="L534">
        <v>2.25</v>
      </c>
      <c r="O534">
        <v>3</v>
      </c>
    </row>
    <row r="535" spans="1:15" x14ac:dyDescent="0.2">
      <c r="A535" t="s">
        <v>36</v>
      </c>
      <c r="B535">
        <v>4</v>
      </c>
      <c r="C535" s="1" t="s">
        <v>43</v>
      </c>
      <c r="D535">
        <v>2</v>
      </c>
      <c r="E535">
        <v>1.07</v>
      </c>
      <c r="F535">
        <v>6.61</v>
      </c>
      <c r="G535">
        <v>1.367</v>
      </c>
      <c r="L535">
        <v>2.25</v>
      </c>
      <c r="O535">
        <v>3</v>
      </c>
    </row>
    <row r="536" spans="1:15" x14ac:dyDescent="0.2">
      <c r="A536" t="s">
        <v>36</v>
      </c>
      <c r="B536">
        <v>4</v>
      </c>
      <c r="C536" s="1" t="s">
        <v>43</v>
      </c>
      <c r="D536">
        <v>3</v>
      </c>
      <c r="E536">
        <v>0.5</v>
      </c>
      <c r="F536">
        <v>5.62</v>
      </c>
      <c r="G536">
        <v>1.4610000000000001</v>
      </c>
      <c r="L536">
        <v>2.25</v>
      </c>
      <c r="O536">
        <v>3</v>
      </c>
    </row>
    <row r="537" spans="1:15" x14ac:dyDescent="0.2">
      <c r="A537" t="s">
        <v>36</v>
      </c>
      <c r="B537">
        <v>4</v>
      </c>
      <c r="C537" s="1" t="s">
        <v>43</v>
      </c>
      <c r="D537">
        <v>4</v>
      </c>
      <c r="E537">
        <v>0.84799999999999998</v>
      </c>
      <c r="F537">
        <v>6.84</v>
      </c>
      <c r="G537">
        <v>0.93</v>
      </c>
      <c r="L537">
        <v>2.25</v>
      </c>
      <c r="O537">
        <v>3</v>
      </c>
    </row>
    <row r="538" spans="1:15" x14ac:dyDescent="0.2">
      <c r="A538" t="s">
        <v>36</v>
      </c>
      <c r="B538">
        <v>4</v>
      </c>
      <c r="C538" s="1" t="s">
        <v>43</v>
      </c>
      <c r="D538">
        <v>5</v>
      </c>
      <c r="E538">
        <v>0.67100000000000004</v>
      </c>
      <c r="F538">
        <v>9.84</v>
      </c>
      <c r="G538">
        <v>2.407</v>
      </c>
      <c r="L538">
        <v>2.25</v>
      </c>
      <c r="O538">
        <v>3</v>
      </c>
    </row>
    <row r="539" spans="1:15" x14ac:dyDescent="0.2">
      <c r="A539" t="s">
        <v>36</v>
      </c>
      <c r="B539">
        <v>4</v>
      </c>
      <c r="C539" s="1" t="s">
        <v>43</v>
      </c>
      <c r="D539">
        <v>6</v>
      </c>
      <c r="E539">
        <v>0.96799999999999997</v>
      </c>
      <c r="F539">
        <v>5.17</v>
      </c>
      <c r="G539">
        <v>2.2589999999999999</v>
      </c>
      <c r="L539">
        <v>2.25</v>
      </c>
      <c r="O539">
        <v>3</v>
      </c>
    </row>
    <row r="540" spans="1:15" x14ac:dyDescent="0.2">
      <c r="A540" t="s">
        <v>36</v>
      </c>
      <c r="B540">
        <v>4</v>
      </c>
      <c r="C540" s="1" t="s">
        <v>43</v>
      </c>
      <c r="D540">
        <v>7</v>
      </c>
      <c r="E540">
        <v>1.8240000000000001</v>
      </c>
      <c r="F540">
        <v>9.25</v>
      </c>
      <c r="G540">
        <v>2.2360000000000002</v>
      </c>
      <c r="L540">
        <v>2.25</v>
      </c>
      <c r="O540">
        <v>3</v>
      </c>
    </row>
    <row r="541" spans="1:15" x14ac:dyDescent="0.2">
      <c r="A541" t="s">
        <v>36</v>
      </c>
      <c r="B541">
        <v>4</v>
      </c>
      <c r="C541" s="1" t="s">
        <v>43</v>
      </c>
      <c r="D541">
        <v>8</v>
      </c>
      <c r="E541">
        <v>1.038</v>
      </c>
      <c r="F541">
        <v>7.62</v>
      </c>
      <c r="G541">
        <v>1.1930000000000001</v>
      </c>
      <c r="L541">
        <v>2.25</v>
      </c>
      <c r="O541">
        <v>3</v>
      </c>
    </row>
    <row r="542" spans="1:15" x14ac:dyDescent="0.2">
      <c r="A542" t="s">
        <v>36</v>
      </c>
      <c r="B542">
        <v>4</v>
      </c>
      <c r="C542" s="1" t="s">
        <v>43</v>
      </c>
      <c r="D542">
        <v>9</v>
      </c>
      <c r="E542">
        <v>1.0580000000000001</v>
      </c>
      <c r="F542">
        <v>4.5999999999999996</v>
      </c>
      <c r="G542">
        <v>2.35</v>
      </c>
      <c r="L542">
        <v>2.25</v>
      </c>
      <c r="O542">
        <v>3</v>
      </c>
    </row>
    <row r="543" spans="1:15" x14ac:dyDescent="0.2">
      <c r="A543" t="s">
        <v>36</v>
      </c>
      <c r="B543">
        <v>5</v>
      </c>
      <c r="C543" s="1" t="s">
        <v>28</v>
      </c>
      <c r="D543">
        <v>1</v>
      </c>
      <c r="E543">
        <v>0.60599999999999998</v>
      </c>
      <c r="F543">
        <v>12.76</v>
      </c>
      <c r="G543">
        <v>0.20899999999999999</v>
      </c>
      <c r="L543">
        <v>1.2</v>
      </c>
      <c r="O543">
        <v>13</v>
      </c>
    </row>
    <row r="544" spans="1:15" x14ac:dyDescent="0.2">
      <c r="A544" t="s">
        <v>36</v>
      </c>
      <c r="B544">
        <v>5</v>
      </c>
      <c r="C544" s="1" t="s">
        <v>28</v>
      </c>
      <c r="D544">
        <v>2</v>
      </c>
      <c r="E544">
        <v>0.61699999999999999</v>
      </c>
      <c r="F544">
        <v>11.12</v>
      </c>
      <c r="G544">
        <v>0.23599999999999999</v>
      </c>
      <c r="L544">
        <v>1.2</v>
      </c>
      <c r="O544">
        <v>13</v>
      </c>
    </row>
    <row r="545" spans="1:15" x14ac:dyDescent="0.2">
      <c r="A545" t="s">
        <v>36</v>
      </c>
      <c r="B545">
        <v>5</v>
      </c>
      <c r="C545" s="1" t="s">
        <v>28</v>
      </c>
      <c r="D545">
        <v>3</v>
      </c>
      <c r="E545">
        <v>0.66700000000000004</v>
      </c>
      <c r="F545">
        <v>13.73</v>
      </c>
      <c r="G545">
        <v>0.33700000000000002</v>
      </c>
      <c r="L545">
        <v>1.2</v>
      </c>
      <c r="O545">
        <v>13</v>
      </c>
    </row>
    <row r="546" spans="1:15" x14ac:dyDescent="0.2">
      <c r="A546" t="s">
        <v>36</v>
      </c>
      <c r="B546">
        <v>5</v>
      </c>
      <c r="C546" s="1" t="s">
        <v>28</v>
      </c>
      <c r="D546">
        <v>4</v>
      </c>
      <c r="E546">
        <v>0.65300000000000002</v>
      </c>
      <c r="F546">
        <v>17.260000000000002</v>
      </c>
      <c r="G546">
        <v>0.19</v>
      </c>
      <c r="L546">
        <v>1.2</v>
      </c>
      <c r="O546">
        <v>13</v>
      </c>
    </row>
    <row r="547" spans="1:15" x14ac:dyDescent="0.2">
      <c r="A547" t="s">
        <v>36</v>
      </c>
      <c r="B547">
        <v>5</v>
      </c>
      <c r="C547" s="1" t="s">
        <v>28</v>
      </c>
      <c r="D547">
        <v>5</v>
      </c>
      <c r="E547">
        <v>0.71599999999999997</v>
      </c>
      <c r="F547">
        <v>9.4600000000000009</v>
      </c>
      <c r="G547">
        <v>0.17899999999999999</v>
      </c>
      <c r="L547">
        <v>1.2</v>
      </c>
      <c r="O547">
        <v>13</v>
      </c>
    </row>
    <row r="548" spans="1:15" x14ac:dyDescent="0.2">
      <c r="A548" t="s">
        <v>36</v>
      </c>
      <c r="B548">
        <v>5</v>
      </c>
      <c r="C548" s="1" t="s">
        <v>28</v>
      </c>
      <c r="D548">
        <v>6</v>
      </c>
      <c r="E548">
        <v>0.55000000000000004</v>
      </c>
      <c r="F548">
        <v>16.579999999999998</v>
      </c>
      <c r="G548">
        <v>0.35399999999999998</v>
      </c>
      <c r="L548">
        <v>1.2</v>
      </c>
      <c r="O548">
        <v>13</v>
      </c>
    </row>
    <row r="549" spans="1:15" x14ac:dyDescent="0.2">
      <c r="A549" t="s">
        <v>36</v>
      </c>
      <c r="B549">
        <v>5</v>
      </c>
      <c r="C549" s="1" t="s">
        <v>28</v>
      </c>
      <c r="D549">
        <v>7</v>
      </c>
      <c r="E549">
        <v>0.56699999999999995</v>
      </c>
      <c r="F549">
        <v>11.38</v>
      </c>
      <c r="G549">
        <v>0.20699999999999999</v>
      </c>
      <c r="L549">
        <v>1.2</v>
      </c>
      <c r="O549">
        <v>13</v>
      </c>
    </row>
    <row r="550" spans="1:15" x14ac:dyDescent="0.2">
      <c r="A550" t="s">
        <v>36</v>
      </c>
      <c r="B550">
        <v>5</v>
      </c>
      <c r="C550" s="1" t="s">
        <v>28</v>
      </c>
      <c r="D550">
        <v>8</v>
      </c>
      <c r="E550">
        <v>0.53500000000000003</v>
      </c>
      <c r="F550">
        <v>16.66</v>
      </c>
      <c r="G550">
        <v>0.13600000000000001</v>
      </c>
      <c r="L550">
        <v>1.2</v>
      </c>
      <c r="O550">
        <v>13</v>
      </c>
    </row>
    <row r="551" spans="1:15" x14ac:dyDescent="0.2">
      <c r="A551" t="s">
        <v>36</v>
      </c>
      <c r="B551">
        <v>5</v>
      </c>
      <c r="C551" s="1" t="s">
        <v>28</v>
      </c>
      <c r="D551">
        <v>9</v>
      </c>
      <c r="E551">
        <v>0.497</v>
      </c>
      <c r="F551">
        <v>8.5</v>
      </c>
      <c r="G551">
        <v>0.19800000000000001</v>
      </c>
      <c r="L551">
        <v>1.2</v>
      </c>
      <c r="O551">
        <v>13</v>
      </c>
    </row>
    <row r="552" spans="1:15" x14ac:dyDescent="0.2">
      <c r="A552" t="s">
        <v>36</v>
      </c>
      <c r="B552">
        <v>5</v>
      </c>
      <c r="C552" s="1" t="s">
        <v>38</v>
      </c>
      <c r="D552">
        <v>1</v>
      </c>
      <c r="E552">
        <v>0.60199999999999998</v>
      </c>
      <c r="F552">
        <v>16.100000000000001</v>
      </c>
      <c r="G552">
        <v>0.81299999999999994</v>
      </c>
      <c r="L552">
        <v>1.2</v>
      </c>
      <c r="O552">
        <v>1</v>
      </c>
    </row>
    <row r="553" spans="1:15" x14ac:dyDescent="0.2">
      <c r="A553" t="s">
        <v>36</v>
      </c>
      <c r="B553">
        <v>5</v>
      </c>
      <c r="C553" s="1" t="s">
        <v>38</v>
      </c>
      <c r="D553">
        <v>2</v>
      </c>
      <c r="E553">
        <v>0.84099999999999997</v>
      </c>
      <c r="F553">
        <v>11.35</v>
      </c>
      <c r="G553">
        <v>0.495</v>
      </c>
      <c r="L553">
        <v>1.2</v>
      </c>
      <c r="O553">
        <v>1</v>
      </c>
    </row>
    <row r="554" spans="1:15" x14ac:dyDescent="0.2">
      <c r="A554" t="s">
        <v>36</v>
      </c>
      <c r="B554">
        <v>5</v>
      </c>
      <c r="C554" s="1" t="s">
        <v>38</v>
      </c>
      <c r="D554">
        <v>3</v>
      </c>
      <c r="E554">
        <v>0.57999999999999996</v>
      </c>
      <c r="F554">
        <v>13.73</v>
      </c>
      <c r="G554">
        <v>0.249</v>
      </c>
      <c r="L554">
        <v>1.2</v>
      </c>
      <c r="O554">
        <v>1</v>
      </c>
    </row>
    <row r="555" spans="1:15" x14ac:dyDescent="0.2">
      <c r="A555" t="s">
        <v>36</v>
      </c>
      <c r="B555">
        <v>5</v>
      </c>
      <c r="C555" s="1" t="s">
        <v>38</v>
      </c>
      <c r="D555">
        <v>4</v>
      </c>
      <c r="E555">
        <v>0.78800000000000003</v>
      </c>
      <c r="F555">
        <v>17.84</v>
      </c>
      <c r="G555">
        <v>0.46100000000000002</v>
      </c>
      <c r="L555">
        <v>1.2</v>
      </c>
      <c r="O555">
        <v>1</v>
      </c>
    </row>
    <row r="556" spans="1:15" x14ac:dyDescent="0.2">
      <c r="A556" t="s">
        <v>36</v>
      </c>
      <c r="B556">
        <v>5</v>
      </c>
      <c r="C556" s="1" t="s">
        <v>38</v>
      </c>
      <c r="D556">
        <v>5</v>
      </c>
      <c r="E556">
        <v>0.89500000000000002</v>
      </c>
      <c r="F556">
        <v>11.82</v>
      </c>
      <c r="G556">
        <v>0.38800000000000001</v>
      </c>
      <c r="L556">
        <v>1.2</v>
      </c>
      <c r="O556">
        <v>1</v>
      </c>
    </row>
    <row r="557" spans="1:15" x14ac:dyDescent="0.2">
      <c r="A557" t="s">
        <v>36</v>
      </c>
      <c r="B557">
        <v>5</v>
      </c>
      <c r="C557" s="1" t="s">
        <v>38</v>
      </c>
      <c r="D557">
        <v>6</v>
      </c>
      <c r="E557">
        <v>0.67900000000000005</v>
      </c>
      <c r="F557">
        <v>11.53</v>
      </c>
      <c r="G557">
        <v>0.53100000000000003</v>
      </c>
      <c r="L557">
        <v>1.2</v>
      </c>
      <c r="O557">
        <v>1</v>
      </c>
    </row>
    <row r="558" spans="1:15" x14ac:dyDescent="0.2">
      <c r="A558" t="s">
        <v>36</v>
      </c>
      <c r="B558">
        <v>5</v>
      </c>
      <c r="C558" s="1" t="s">
        <v>38</v>
      </c>
      <c r="D558">
        <v>7</v>
      </c>
      <c r="E558">
        <v>0.77500000000000002</v>
      </c>
      <c r="F558">
        <v>11.52</v>
      </c>
      <c r="G558">
        <v>0.80800000000000005</v>
      </c>
      <c r="L558">
        <v>1.2</v>
      </c>
      <c r="O558">
        <v>1</v>
      </c>
    </row>
    <row r="559" spans="1:15" x14ac:dyDescent="0.2">
      <c r="A559" t="s">
        <v>36</v>
      </c>
      <c r="B559">
        <v>5</v>
      </c>
      <c r="C559" s="1" t="s">
        <v>38</v>
      </c>
      <c r="D559">
        <v>8</v>
      </c>
      <c r="E559">
        <v>0.53900000000000003</v>
      </c>
      <c r="F559">
        <v>14.09</v>
      </c>
      <c r="G559">
        <v>0.55600000000000005</v>
      </c>
      <c r="L559">
        <v>1.2</v>
      </c>
      <c r="O559">
        <v>1</v>
      </c>
    </row>
    <row r="560" spans="1:15" x14ac:dyDescent="0.2">
      <c r="A560" t="s">
        <v>36</v>
      </c>
      <c r="B560">
        <v>5</v>
      </c>
      <c r="C560" s="1" t="s">
        <v>38</v>
      </c>
      <c r="D560">
        <v>9</v>
      </c>
      <c r="E560">
        <v>0.54700000000000004</v>
      </c>
      <c r="F560">
        <v>12.03</v>
      </c>
      <c r="G560">
        <v>0.56999999999999995</v>
      </c>
      <c r="L560">
        <v>1.2</v>
      </c>
      <c r="O560">
        <v>1</v>
      </c>
    </row>
    <row r="561" spans="1:15" x14ac:dyDescent="0.2">
      <c r="A561" t="s">
        <v>36</v>
      </c>
      <c r="B561">
        <v>5</v>
      </c>
      <c r="C561" s="1" t="s">
        <v>13</v>
      </c>
      <c r="D561">
        <v>1</v>
      </c>
      <c r="E561">
        <v>2.02</v>
      </c>
      <c r="F561">
        <v>11.2</v>
      </c>
      <c r="G561">
        <v>0.20899999999999999</v>
      </c>
      <c r="L561">
        <v>1.2</v>
      </c>
      <c r="O561">
        <v>20</v>
      </c>
    </row>
    <row r="562" spans="1:15" x14ac:dyDescent="0.2">
      <c r="A562" t="s">
        <v>36</v>
      </c>
      <c r="B562">
        <v>5</v>
      </c>
      <c r="C562" s="1" t="s">
        <v>13</v>
      </c>
      <c r="D562">
        <v>2</v>
      </c>
      <c r="E562">
        <v>2.9350000000000001</v>
      </c>
      <c r="F562">
        <v>14.44</v>
      </c>
      <c r="G562">
        <v>0.248</v>
      </c>
      <c r="L562">
        <v>1.2</v>
      </c>
      <c r="O562">
        <v>20</v>
      </c>
    </row>
    <row r="563" spans="1:15" x14ac:dyDescent="0.2">
      <c r="A563" t="s">
        <v>36</v>
      </c>
      <c r="B563">
        <v>5</v>
      </c>
      <c r="C563" s="1" t="s">
        <v>13</v>
      </c>
      <c r="D563">
        <v>3</v>
      </c>
      <c r="E563">
        <v>2.919</v>
      </c>
      <c r="F563">
        <v>12.92</v>
      </c>
      <c r="G563">
        <v>0.21299999999999999</v>
      </c>
      <c r="L563">
        <v>1.2</v>
      </c>
      <c r="O563">
        <v>20</v>
      </c>
    </row>
    <row r="564" spans="1:15" x14ac:dyDescent="0.2">
      <c r="A564" t="s">
        <v>36</v>
      </c>
      <c r="B564">
        <v>5</v>
      </c>
      <c r="C564" s="1" t="s">
        <v>13</v>
      </c>
      <c r="D564">
        <v>4</v>
      </c>
      <c r="E564">
        <v>2.706</v>
      </c>
      <c r="F564">
        <v>6.55</v>
      </c>
      <c r="G564">
        <v>0.23</v>
      </c>
      <c r="L564">
        <v>1.2</v>
      </c>
      <c r="O564">
        <v>20</v>
      </c>
    </row>
    <row r="565" spans="1:15" x14ac:dyDescent="0.2">
      <c r="A565" t="s">
        <v>36</v>
      </c>
      <c r="B565">
        <v>5</v>
      </c>
      <c r="C565" s="1" t="s">
        <v>13</v>
      </c>
      <c r="D565">
        <v>5</v>
      </c>
      <c r="E565">
        <v>2.206</v>
      </c>
      <c r="F565">
        <v>11.58</v>
      </c>
      <c r="G565">
        <v>0.16600000000000001</v>
      </c>
      <c r="L565">
        <v>1.2</v>
      </c>
      <c r="O565">
        <v>20</v>
      </c>
    </row>
    <row r="566" spans="1:15" x14ac:dyDescent="0.2">
      <c r="A566" t="s">
        <v>36</v>
      </c>
      <c r="B566">
        <v>5</v>
      </c>
      <c r="C566" s="1" t="s">
        <v>13</v>
      </c>
      <c r="D566">
        <v>6</v>
      </c>
      <c r="E566">
        <v>3.8559999999999999</v>
      </c>
      <c r="F566">
        <v>10.67</v>
      </c>
      <c r="G566">
        <v>0.17799999999999999</v>
      </c>
      <c r="L566">
        <v>1.2</v>
      </c>
      <c r="O566">
        <v>20</v>
      </c>
    </row>
    <row r="567" spans="1:15" x14ac:dyDescent="0.2">
      <c r="A567" t="s">
        <v>36</v>
      </c>
      <c r="B567">
        <v>5</v>
      </c>
      <c r="C567" s="1" t="s">
        <v>13</v>
      </c>
      <c r="D567">
        <v>7</v>
      </c>
      <c r="E567">
        <v>2.74</v>
      </c>
      <c r="F567">
        <v>12.94</v>
      </c>
      <c r="G567">
        <v>0.21199999999999999</v>
      </c>
      <c r="L567">
        <v>1.2</v>
      </c>
      <c r="O567">
        <v>20</v>
      </c>
    </row>
    <row r="568" spans="1:15" x14ac:dyDescent="0.2">
      <c r="A568" t="s">
        <v>36</v>
      </c>
      <c r="B568">
        <v>5</v>
      </c>
      <c r="C568" s="1" t="s">
        <v>13</v>
      </c>
      <c r="D568">
        <v>8</v>
      </c>
      <c r="E568">
        <v>3.6469999999999998</v>
      </c>
      <c r="F568">
        <v>10.67</v>
      </c>
      <c r="G568">
        <v>0.251</v>
      </c>
      <c r="L568">
        <v>1.2</v>
      </c>
      <c r="O568">
        <v>20</v>
      </c>
    </row>
    <row r="569" spans="1:15" x14ac:dyDescent="0.2">
      <c r="A569" t="s">
        <v>36</v>
      </c>
      <c r="B569">
        <v>5</v>
      </c>
      <c r="C569" s="1" t="s">
        <v>13</v>
      </c>
      <c r="D569">
        <v>9</v>
      </c>
      <c r="E569">
        <v>2.5329999999999999</v>
      </c>
      <c r="F569">
        <v>9.1300000000000008</v>
      </c>
      <c r="G569">
        <v>0.22600000000000001</v>
      </c>
      <c r="L569">
        <v>1.2</v>
      </c>
      <c r="O569">
        <v>20</v>
      </c>
    </row>
    <row r="570" spans="1:15" x14ac:dyDescent="0.2">
      <c r="A570" t="s">
        <v>36</v>
      </c>
      <c r="B570">
        <v>5</v>
      </c>
      <c r="C570" s="1" t="s">
        <v>39</v>
      </c>
      <c r="D570">
        <v>1</v>
      </c>
      <c r="E570">
        <v>2.6669999999999998</v>
      </c>
      <c r="F570">
        <v>10.8</v>
      </c>
      <c r="G570">
        <v>0.23799999999999999</v>
      </c>
      <c r="L570">
        <v>1.2</v>
      </c>
      <c r="O570">
        <v>4</v>
      </c>
    </row>
    <row r="571" spans="1:15" x14ac:dyDescent="0.2">
      <c r="A571" t="s">
        <v>36</v>
      </c>
      <c r="B571">
        <v>5</v>
      </c>
      <c r="C571" s="1" t="s">
        <v>39</v>
      </c>
      <c r="D571">
        <v>2</v>
      </c>
      <c r="E571">
        <v>2.609</v>
      </c>
      <c r="F571">
        <v>10.17</v>
      </c>
      <c r="G571">
        <v>0.126</v>
      </c>
      <c r="L571">
        <v>1.2</v>
      </c>
      <c r="O571">
        <v>4</v>
      </c>
    </row>
    <row r="572" spans="1:15" x14ac:dyDescent="0.2">
      <c r="A572" t="s">
        <v>36</v>
      </c>
      <c r="B572">
        <v>5</v>
      </c>
      <c r="C572" s="1" t="s">
        <v>39</v>
      </c>
      <c r="D572">
        <v>3</v>
      </c>
      <c r="E572">
        <v>3.4129999999999998</v>
      </c>
      <c r="F572">
        <v>7.88</v>
      </c>
      <c r="G572">
        <v>0.12</v>
      </c>
      <c r="L572">
        <v>1.2</v>
      </c>
      <c r="O572">
        <v>4</v>
      </c>
    </row>
    <row r="573" spans="1:15" x14ac:dyDescent="0.2">
      <c r="A573" t="s">
        <v>36</v>
      </c>
      <c r="B573">
        <v>5</v>
      </c>
      <c r="C573" s="1" t="s">
        <v>39</v>
      </c>
      <c r="D573">
        <v>4</v>
      </c>
      <c r="E573">
        <v>1.8129999999999999</v>
      </c>
      <c r="F573">
        <v>15.81</v>
      </c>
      <c r="G573">
        <v>0.153</v>
      </c>
      <c r="L573">
        <v>1.2</v>
      </c>
      <c r="O573">
        <v>4</v>
      </c>
    </row>
    <row r="574" spans="1:15" x14ac:dyDescent="0.2">
      <c r="A574" t="s">
        <v>36</v>
      </c>
      <c r="B574">
        <v>5</v>
      </c>
      <c r="C574" s="1" t="s">
        <v>39</v>
      </c>
      <c r="D574">
        <v>5</v>
      </c>
      <c r="E574">
        <v>1.2949999999999999</v>
      </c>
      <c r="F574">
        <v>12.77</v>
      </c>
      <c r="G574">
        <v>0.111</v>
      </c>
      <c r="L574">
        <v>1.2</v>
      </c>
      <c r="O574">
        <v>4</v>
      </c>
    </row>
    <row r="575" spans="1:15" x14ac:dyDescent="0.2">
      <c r="A575" t="s">
        <v>36</v>
      </c>
      <c r="B575">
        <v>5</v>
      </c>
      <c r="C575" s="1" t="s">
        <v>39</v>
      </c>
      <c r="D575">
        <v>6</v>
      </c>
      <c r="E575">
        <v>2.101</v>
      </c>
      <c r="F575">
        <v>13.04</v>
      </c>
      <c r="G575">
        <v>0.24399999999999999</v>
      </c>
      <c r="L575">
        <v>1.2</v>
      </c>
      <c r="O575">
        <v>4</v>
      </c>
    </row>
    <row r="576" spans="1:15" x14ac:dyDescent="0.2">
      <c r="A576" t="s">
        <v>36</v>
      </c>
      <c r="B576">
        <v>5</v>
      </c>
      <c r="C576" s="1" t="s">
        <v>39</v>
      </c>
      <c r="D576">
        <v>7</v>
      </c>
      <c r="E576">
        <v>1.742</v>
      </c>
      <c r="F576">
        <v>16.77</v>
      </c>
      <c r="G576">
        <v>0.17199999999999999</v>
      </c>
      <c r="L576">
        <v>1.2</v>
      </c>
      <c r="O576">
        <v>4</v>
      </c>
    </row>
    <row r="577" spans="1:15" x14ac:dyDescent="0.2">
      <c r="A577" t="s">
        <v>36</v>
      </c>
      <c r="B577">
        <v>5</v>
      </c>
      <c r="C577" s="1" t="s">
        <v>39</v>
      </c>
      <c r="D577">
        <v>8</v>
      </c>
      <c r="E577">
        <v>1.6479999999999999</v>
      </c>
      <c r="F577">
        <v>11.09</v>
      </c>
      <c r="G577">
        <v>0.112</v>
      </c>
      <c r="L577">
        <v>1.2</v>
      </c>
      <c r="O577">
        <v>4</v>
      </c>
    </row>
    <row r="578" spans="1:15" x14ac:dyDescent="0.2">
      <c r="A578" t="s">
        <v>36</v>
      </c>
      <c r="B578">
        <v>5</v>
      </c>
      <c r="C578" s="1" t="s">
        <v>39</v>
      </c>
      <c r="D578">
        <v>9</v>
      </c>
      <c r="E578">
        <v>2.25</v>
      </c>
      <c r="F578">
        <v>11.86</v>
      </c>
      <c r="G578">
        <v>0.23400000000000001</v>
      </c>
      <c r="L578">
        <v>1.2</v>
      </c>
      <c r="O578">
        <v>4</v>
      </c>
    </row>
    <row r="579" spans="1:15" x14ac:dyDescent="0.2">
      <c r="A579" t="s">
        <v>36</v>
      </c>
      <c r="B579">
        <v>5</v>
      </c>
      <c r="C579" s="1" t="s">
        <v>40</v>
      </c>
      <c r="D579">
        <v>1</v>
      </c>
      <c r="E579">
        <v>0.46600000000000003</v>
      </c>
      <c r="F579">
        <v>54.91</v>
      </c>
      <c r="G579">
        <v>0.35199999999999998</v>
      </c>
      <c r="L579">
        <v>1.2</v>
      </c>
      <c r="O579">
        <v>7</v>
      </c>
    </row>
    <row r="580" spans="1:15" x14ac:dyDescent="0.2">
      <c r="A580" t="s">
        <v>36</v>
      </c>
      <c r="B580">
        <v>5</v>
      </c>
      <c r="C580" s="1" t="s">
        <v>40</v>
      </c>
      <c r="D580">
        <v>2</v>
      </c>
      <c r="E580">
        <v>0.41899999999999998</v>
      </c>
      <c r="F580">
        <v>55.5</v>
      </c>
      <c r="G580">
        <v>0.251</v>
      </c>
      <c r="L580">
        <v>1.2</v>
      </c>
      <c r="O580">
        <v>7</v>
      </c>
    </row>
    <row r="581" spans="1:15" x14ac:dyDescent="0.2">
      <c r="A581" t="s">
        <v>36</v>
      </c>
      <c r="B581">
        <v>5</v>
      </c>
      <c r="C581" s="1" t="s">
        <v>40</v>
      </c>
      <c r="D581">
        <v>3</v>
      </c>
      <c r="E581">
        <v>0.377</v>
      </c>
      <c r="F581">
        <v>43.65</v>
      </c>
      <c r="G581">
        <v>0.249</v>
      </c>
      <c r="L581">
        <v>1.2</v>
      </c>
      <c r="O581">
        <v>7</v>
      </c>
    </row>
    <row r="582" spans="1:15" x14ac:dyDescent="0.2">
      <c r="A582" t="s">
        <v>36</v>
      </c>
      <c r="B582">
        <v>5</v>
      </c>
      <c r="C582" s="1" t="s">
        <v>40</v>
      </c>
      <c r="D582">
        <v>4</v>
      </c>
      <c r="E582">
        <v>0.46700000000000003</v>
      </c>
      <c r="F582">
        <v>69.55</v>
      </c>
      <c r="G582">
        <v>0.33800000000000002</v>
      </c>
      <c r="L582">
        <v>1.2</v>
      </c>
      <c r="O582">
        <v>7</v>
      </c>
    </row>
    <row r="583" spans="1:15" x14ac:dyDescent="0.2">
      <c r="A583" t="s">
        <v>36</v>
      </c>
      <c r="B583">
        <v>5</v>
      </c>
      <c r="C583" s="1" t="s">
        <v>40</v>
      </c>
      <c r="D583">
        <v>5</v>
      </c>
      <c r="E583">
        <v>0.45200000000000001</v>
      </c>
      <c r="F583">
        <v>67.55</v>
      </c>
      <c r="G583">
        <v>0.25800000000000001</v>
      </c>
      <c r="L583">
        <v>1.2</v>
      </c>
      <c r="O583">
        <v>7</v>
      </c>
    </row>
    <row r="584" spans="1:15" x14ac:dyDescent="0.2">
      <c r="A584" t="s">
        <v>36</v>
      </c>
      <c r="B584">
        <v>5</v>
      </c>
      <c r="C584" s="1" t="s">
        <v>40</v>
      </c>
      <c r="D584">
        <v>6</v>
      </c>
      <c r="E584">
        <v>0.45100000000000001</v>
      </c>
      <c r="F584">
        <v>51.75</v>
      </c>
      <c r="G584">
        <v>0.26100000000000001</v>
      </c>
      <c r="L584">
        <v>1.2</v>
      </c>
      <c r="O584">
        <v>7</v>
      </c>
    </row>
    <row r="585" spans="1:15" x14ac:dyDescent="0.2">
      <c r="A585" t="s">
        <v>36</v>
      </c>
      <c r="B585">
        <v>5</v>
      </c>
      <c r="C585" s="1" t="s">
        <v>40</v>
      </c>
      <c r="D585">
        <v>7</v>
      </c>
      <c r="E585">
        <v>0.40799999999999997</v>
      </c>
      <c r="F585">
        <v>41.84</v>
      </c>
      <c r="G585">
        <v>0.29799999999999999</v>
      </c>
      <c r="L585">
        <v>1.2</v>
      </c>
      <c r="O585">
        <v>7</v>
      </c>
    </row>
    <row r="586" spans="1:15" x14ac:dyDescent="0.2">
      <c r="A586" t="s">
        <v>36</v>
      </c>
      <c r="B586">
        <v>5</v>
      </c>
      <c r="C586" s="1" t="s">
        <v>40</v>
      </c>
      <c r="D586">
        <v>8</v>
      </c>
      <c r="E586">
        <v>0.442</v>
      </c>
      <c r="F586">
        <v>62.76</v>
      </c>
      <c r="G586">
        <v>0.218</v>
      </c>
      <c r="L586">
        <v>1.2</v>
      </c>
      <c r="O586">
        <v>7</v>
      </c>
    </row>
    <row r="587" spans="1:15" x14ac:dyDescent="0.2">
      <c r="A587" t="s">
        <v>36</v>
      </c>
      <c r="B587">
        <v>5</v>
      </c>
      <c r="C587" s="1" t="s">
        <v>40</v>
      </c>
      <c r="D587">
        <v>9</v>
      </c>
      <c r="E587">
        <v>0.505</v>
      </c>
      <c r="F587">
        <v>47.86</v>
      </c>
      <c r="G587">
        <v>0.26800000000000002</v>
      </c>
      <c r="L587">
        <v>1.2</v>
      </c>
      <c r="O587">
        <v>7</v>
      </c>
    </row>
    <row r="588" spans="1:15" x14ac:dyDescent="0.2">
      <c r="A588" t="s">
        <v>36</v>
      </c>
      <c r="B588">
        <v>5</v>
      </c>
      <c r="C588" s="1" t="s">
        <v>41</v>
      </c>
      <c r="D588">
        <v>1</v>
      </c>
      <c r="E588">
        <v>0.47299999999999998</v>
      </c>
      <c r="F588">
        <v>44.09</v>
      </c>
      <c r="G588">
        <v>0.247</v>
      </c>
      <c r="L588">
        <v>1.2</v>
      </c>
      <c r="O588">
        <v>48</v>
      </c>
    </row>
    <row r="589" spans="1:15" x14ac:dyDescent="0.2">
      <c r="A589" t="s">
        <v>36</v>
      </c>
      <c r="B589">
        <v>5</v>
      </c>
      <c r="C589" s="1" t="s">
        <v>41</v>
      </c>
      <c r="D589">
        <v>2</v>
      </c>
      <c r="E589">
        <v>0.442</v>
      </c>
      <c r="F589">
        <v>61.88</v>
      </c>
      <c r="G589">
        <v>0.26500000000000001</v>
      </c>
      <c r="L589">
        <v>1.2</v>
      </c>
      <c r="O589">
        <v>48</v>
      </c>
    </row>
    <row r="590" spans="1:15" x14ac:dyDescent="0.2">
      <c r="A590" t="s">
        <v>36</v>
      </c>
      <c r="B590">
        <v>5</v>
      </c>
      <c r="C590" s="1" t="s">
        <v>41</v>
      </c>
      <c r="D590">
        <v>3</v>
      </c>
      <c r="E590">
        <v>0.371</v>
      </c>
      <c r="F590">
        <v>40.380000000000003</v>
      </c>
      <c r="G590">
        <v>0.38</v>
      </c>
      <c r="L590">
        <v>1.2</v>
      </c>
      <c r="O590">
        <v>48</v>
      </c>
    </row>
    <row r="591" spans="1:15" x14ac:dyDescent="0.2">
      <c r="A591" t="s">
        <v>36</v>
      </c>
      <c r="B591">
        <v>5</v>
      </c>
      <c r="C591" s="1" t="s">
        <v>41</v>
      </c>
      <c r="D591">
        <v>4</v>
      </c>
      <c r="E591">
        <v>0.433</v>
      </c>
      <c r="F591">
        <v>40.07</v>
      </c>
      <c r="G591">
        <v>0.246</v>
      </c>
      <c r="L591">
        <v>1.2</v>
      </c>
      <c r="O591">
        <v>48</v>
      </c>
    </row>
    <row r="592" spans="1:15" x14ac:dyDescent="0.2">
      <c r="A592" t="s">
        <v>36</v>
      </c>
      <c r="B592">
        <v>5</v>
      </c>
      <c r="C592" s="1" t="s">
        <v>41</v>
      </c>
      <c r="D592">
        <v>5</v>
      </c>
      <c r="E592">
        <v>0.44</v>
      </c>
      <c r="F592">
        <v>58.9</v>
      </c>
      <c r="G592">
        <v>0.33800000000000002</v>
      </c>
      <c r="L592">
        <v>1.2</v>
      </c>
      <c r="O592">
        <v>48</v>
      </c>
    </row>
    <row r="593" spans="1:15" x14ac:dyDescent="0.2">
      <c r="A593" t="s">
        <v>36</v>
      </c>
      <c r="B593">
        <v>5</v>
      </c>
      <c r="C593" s="1" t="s">
        <v>41</v>
      </c>
      <c r="D593">
        <v>6</v>
      </c>
      <c r="E593">
        <v>0.48599999999999999</v>
      </c>
      <c r="F593">
        <v>68.7</v>
      </c>
      <c r="G593">
        <v>0.29699999999999999</v>
      </c>
      <c r="L593">
        <v>1.2</v>
      </c>
      <c r="O593">
        <v>48</v>
      </c>
    </row>
    <row r="594" spans="1:15" x14ac:dyDescent="0.2">
      <c r="A594" t="s">
        <v>36</v>
      </c>
      <c r="B594">
        <v>5</v>
      </c>
      <c r="C594" s="1" t="s">
        <v>41</v>
      </c>
      <c r="D594">
        <v>7</v>
      </c>
      <c r="E594">
        <v>0.432</v>
      </c>
      <c r="F594">
        <v>57.1</v>
      </c>
      <c r="G594">
        <v>0.218</v>
      </c>
      <c r="L594">
        <v>1.2</v>
      </c>
      <c r="O594">
        <v>48</v>
      </c>
    </row>
    <row r="595" spans="1:15" x14ac:dyDescent="0.2">
      <c r="A595" t="s">
        <v>36</v>
      </c>
      <c r="B595">
        <v>5</v>
      </c>
      <c r="C595" s="1" t="s">
        <v>41</v>
      </c>
      <c r="D595">
        <v>8</v>
      </c>
      <c r="E595">
        <v>0.47099999999999997</v>
      </c>
      <c r="F595">
        <v>65</v>
      </c>
      <c r="G595">
        <v>0.22600000000000001</v>
      </c>
      <c r="L595">
        <v>1.2</v>
      </c>
      <c r="O595">
        <v>48</v>
      </c>
    </row>
    <row r="596" spans="1:15" x14ac:dyDescent="0.2">
      <c r="A596" t="s">
        <v>36</v>
      </c>
      <c r="B596">
        <v>5</v>
      </c>
      <c r="C596" s="1" t="s">
        <v>41</v>
      </c>
      <c r="D596">
        <v>9</v>
      </c>
      <c r="E596">
        <v>0.437</v>
      </c>
      <c r="F596">
        <v>61.3</v>
      </c>
      <c r="G596">
        <v>0.23699999999999999</v>
      </c>
      <c r="L596">
        <v>1.2</v>
      </c>
      <c r="O596">
        <v>48</v>
      </c>
    </row>
    <row r="597" spans="1:15" x14ac:dyDescent="0.2">
      <c r="A597" t="s">
        <v>36</v>
      </c>
      <c r="B597">
        <v>5</v>
      </c>
      <c r="C597" s="1" t="s">
        <v>42</v>
      </c>
      <c r="D597">
        <v>1</v>
      </c>
      <c r="E597">
        <v>0.28100000000000003</v>
      </c>
      <c r="F597">
        <v>11</v>
      </c>
      <c r="G597">
        <v>0.61199999999999999</v>
      </c>
      <c r="L597">
        <v>1.2</v>
      </c>
      <c r="O597">
        <v>2</v>
      </c>
    </row>
    <row r="598" spans="1:15" x14ac:dyDescent="0.2">
      <c r="A598" t="s">
        <v>36</v>
      </c>
      <c r="B598">
        <v>5</v>
      </c>
      <c r="C598" s="1" t="s">
        <v>42</v>
      </c>
      <c r="D598">
        <v>2</v>
      </c>
      <c r="E598">
        <v>0.28799999999999998</v>
      </c>
      <c r="F598">
        <v>13.55</v>
      </c>
      <c r="G598">
        <v>0.53600000000000003</v>
      </c>
      <c r="L598">
        <v>1.2</v>
      </c>
      <c r="O598">
        <v>2</v>
      </c>
    </row>
    <row r="599" spans="1:15" x14ac:dyDescent="0.2">
      <c r="A599" t="s">
        <v>36</v>
      </c>
      <c r="B599">
        <v>5</v>
      </c>
      <c r="C599" s="1" t="s">
        <v>42</v>
      </c>
      <c r="D599">
        <v>3</v>
      </c>
      <c r="E599">
        <v>0.315</v>
      </c>
      <c r="F599">
        <v>9.7799999999999994</v>
      </c>
      <c r="G599">
        <v>0.52800000000000002</v>
      </c>
      <c r="L599">
        <v>1.2</v>
      </c>
      <c r="O599">
        <v>2</v>
      </c>
    </row>
    <row r="600" spans="1:15" x14ac:dyDescent="0.2">
      <c r="A600" t="s">
        <v>36</v>
      </c>
      <c r="B600">
        <v>5</v>
      </c>
      <c r="C600" s="1" t="s">
        <v>42</v>
      </c>
      <c r="D600">
        <v>4</v>
      </c>
      <c r="E600">
        <v>0.377</v>
      </c>
      <c r="F600">
        <v>13.88</v>
      </c>
      <c r="G600">
        <v>0.34799999999999998</v>
      </c>
      <c r="L600">
        <v>1.2</v>
      </c>
      <c r="O600">
        <v>2</v>
      </c>
    </row>
    <row r="601" spans="1:15" x14ac:dyDescent="0.2">
      <c r="A601" t="s">
        <v>36</v>
      </c>
      <c r="B601">
        <v>5</v>
      </c>
      <c r="C601" s="1" t="s">
        <v>42</v>
      </c>
      <c r="D601">
        <v>5</v>
      </c>
      <c r="E601">
        <v>0.26200000000000001</v>
      </c>
      <c r="F601">
        <v>12.66</v>
      </c>
      <c r="G601">
        <v>1.0029999999999999</v>
      </c>
      <c r="L601">
        <v>1.2</v>
      </c>
      <c r="O601">
        <v>2</v>
      </c>
    </row>
    <row r="602" spans="1:15" x14ac:dyDescent="0.2">
      <c r="A602" t="s">
        <v>36</v>
      </c>
      <c r="B602">
        <v>5</v>
      </c>
      <c r="C602" s="1" t="s">
        <v>42</v>
      </c>
      <c r="D602">
        <v>6</v>
      </c>
      <c r="E602">
        <v>0.317</v>
      </c>
      <c r="F602">
        <v>8.66</v>
      </c>
      <c r="G602">
        <v>0.67900000000000005</v>
      </c>
      <c r="L602">
        <v>1.2</v>
      </c>
      <c r="O602">
        <v>2</v>
      </c>
    </row>
    <row r="603" spans="1:15" x14ac:dyDescent="0.2">
      <c r="A603" t="s">
        <v>36</v>
      </c>
      <c r="B603">
        <v>5</v>
      </c>
      <c r="C603" s="1" t="s">
        <v>42</v>
      </c>
      <c r="D603">
        <v>7</v>
      </c>
      <c r="E603">
        <v>0.35399999999999998</v>
      </c>
      <c r="F603">
        <v>13.61</v>
      </c>
      <c r="G603">
        <v>0.78200000000000003</v>
      </c>
      <c r="L603">
        <v>1.2</v>
      </c>
      <c r="O603">
        <v>2</v>
      </c>
    </row>
    <row r="604" spans="1:15" x14ac:dyDescent="0.2">
      <c r="A604" t="s">
        <v>36</v>
      </c>
      <c r="B604">
        <v>5</v>
      </c>
      <c r="C604" s="1" t="s">
        <v>42</v>
      </c>
      <c r="D604">
        <v>8</v>
      </c>
      <c r="E604">
        <v>0.314</v>
      </c>
      <c r="F604">
        <v>7.83</v>
      </c>
      <c r="G604">
        <v>0.73599999999999999</v>
      </c>
      <c r="L604">
        <v>1.2</v>
      </c>
      <c r="O604">
        <v>2</v>
      </c>
    </row>
    <row r="605" spans="1:15" x14ac:dyDescent="0.2">
      <c r="A605" t="s">
        <v>36</v>
      </c>
      <c r="B605">
        <v>5</v>
      </c>
      <c r="C605" s="1" t="s">
        <v>42</v>
      </c>
      <c r="D605">
        <v>9</v>
      </c>
      <c r="E605">
        <v>0.29499999999999998</v>
      </c>
      <c r="F605">
        <v>8.66</v>
      </c>
      <c r="G605">
        <v>0.9</v>
      </c>
      <c r="L605">
        <v>1.2</v>
      </c>
      <c r="O605">
        <v>2</v>
      </c>
    </row>
    <row r="606" spans="1:15" x14ac:dyDescent="0.2">
      <c r="A606" t="s">
        <v>36</v>
      </c>
      <c r="B606">
        <v>5</v>
      </c>
      <c r="C606" s="1" t="s">
        <v>43</v>
      </c>
      <c r="D606">
        <v>1</v>
      </c>
      <c r="E606">
        <v>0.755</v>
      </c>
      <c r="F606">
        <v>6.71</v>
      </c>
      <c r="G606">
        <v>1.5549999999999999</v>
      </c>
      <c r="L606">
        <v>1.2</v>
      </c>
      <c r="O606">
        <v>3</v>
      </c>
    </row>
    <row r="607" spans="1:15" x14ac:dyDescent="0.2">
      <c r="A607" t="s">
        <v>36</v>
      </c>
      <c r="B607">
        <v>5</v>
      </c>
      <c r="C607" s="1" t="s">
        <v>43</v>
      </c>
      <c r="D607">
        <v>2</v>
      </c>
      <c r="E607">
        <v>1.03</v>
      </c>
      <c r="F607">
        <v>6.96</v>
      </c>
      <c r="G607">
        <v>1.385</v>
      </c>
      <c r="L607">
        <v>1.2</v>
      </c>
      <c r="O607">
        <v>3</v>
      </c>
    </row>
    <row r="608" spans="1:15" x14ac:dyDescent="0.2">
      <c r="A608" t="s">
        <v>36</v>
      </c>
      <c r="B608">
        <v>5</v>
      </c>
      <c r="C608" s="1" t="s">
        <v>43</v>
      </c>
      <c r="D608">
        <v>3</v>
      </c>
      <c r="E608">
        <v>0.48099999999999998</v>
      </c>
      <c r="F608">
        <v>5.92</v>
      </c>
      <c r="G608">
        <v>1.4810000000000001</v>
      </c>
      <c r="L608">
        <v>1.2</v>
      </c>
      <c r="O608">
        <v>3</v>
      </c>
    </row>
    <row r="609" spans="1:15" x14ac:dyDescent="0.2">
      <c r="A609" t="s">
        <v>36</v>
      </c>
      <c r="B609">
        <v>5</v>
      </c>
      <c r="C609" s="1" t="s">
        <v>43</v>
      </c>
      <c r="D609">
        <v>4</v>
      </c>
      <c r="E609">
        <v>0.81599999999999995</v>
      </c>
      <c r="F609">
        <v>7.2</v>
      </c>
      <c r="G609">
        <v>0.94199999999999995</v>
      </c>
      <c r="L609">
        <v>1.2</v>
      </c>
      <c r="O609">
        <v>3</v>
      </c>
    </row>
    <row r="610" spans="1:15" x14ac:dyDescent="0.2">
      <c r="A610" t="s">
        <v>36</v>
      </c>
      <c r="B610">
        <v>5</v>
      </c>
      <c r="C610" s="1" t="s">
        <v>43</v>
      </c>
      <c r="D610">
        <v>5</v>
      </c>
      <c r="E610">
        <v>0.64600000000000002</v>
      </c>
      <c r="F610">
        <v>10.36</v>
      </c>
      <c r="G610">
        <v>2.44</v>
      </c>
      <c r="L610">
        <v>1.2</v>
      </c>
      <c r="O610">
        <v>3</v>
      </c>
    </row>
    <row r="611" spans="1:15" x14ac:dyDescent="0.2">
      <c r="A611" t="s">
        <v>36</v>
      </c>
      <c r="B611">
        <v>5</v>
      </c>
      <c r="C611" s="1" t="s">
        <v>43</v>
      </c>
      <c r="D611">
        <v>6</v>
      </c>
      <c r="E611">
        <v>0.93100000000000005</v>
      </c>
      <c r="F611">
        <v>5.44</v>
      </c>
      <c r="G611">
        <v>2.29</v>
      </c>
      <c r="L611">
        <v>1.2</v>
      </c>
      <c r="O611">
        <v>3</v>
      </c>
    </row>
    <row r="612" spans="1:15" x14ac:dyDescent="0.2">
      <c r="A612" t="s">
        <v>36</v>
      </c>
      <c r="B612">
        <v>5</v>
      </c>
      <c r="C612" s="1" t="s">
        <v>43</v>
      </c>
      <c r="D612">
        <v>7</v>
      </c>
      <c r="E612">
        <v>1.7549999999999999</v>
      </c>
      <c r="F612">
        <v>9.74</v>
      </c>
      <c r="G612">
        <v>2.2669999999999999</v>
      </c>
      <c r="L612">
        <v>1.2</v>
      </c>
      <c r="O612">
        <v>3</v>
      </c>
    </row>
    <row r="613" spans="1:15" x14ac:dyDescent="0.2">
      <c r="A613" t="s">
        <v>36</v>
      </c>
      <c r="B613">
        <v>5</v>
      </c>
      <c r="C613" s="1" t="s">
        <v>43</v>
      </c>
      <c r="D613">
        <v>8</v>
      </c>
      <c r="E613">
        <v>0.999</v>
      </c>
      <c r="F613">
        <v>8.02</v>
      </c>
      <c r="G613">
        <v>1.2090000000000001</v>
      </c>
      <c r="L613">
        <v>1.2</v>
      </c>
      <c r="O613">
        <v>3</v>
      </c>
    </row>
    <row r="614" spans="1:15" x14ac:dyDescent="0.2">
      <c r="A614" t="s">
        <v>36</v>
      </c>
      <c r="B614">
        <v>5</v>
      </c>
      <c r="C614" s="1" t="s">
        <v>43</v>
      </c>
      <c r="D614">
        <v>9</v>
      </c>
      <c r="E614">
        <v>1.018</v>
      </c>
      <c r="F614">
        <v>4.84</v>
      </c>
      <c r="G614">
        <v>2.3820000000000001</v>
      </c>
      <c r="L614">
        <v>1.2</v>
      </c>
      <c r="O614">
        <v>3</v>
      </c>
    </row>
    <row r="615" spans="1:15" x14ac:dyDescent="0.2">
      <c r="A615" t="s">
        <v>36</v>
      </c>
      <c r="B615">
        <v>5</v>
      </c>
      <c r="C615" s="1" t="s">
        <v>44</v>
      </c>
      <c r="D615">
        <v>1</v>
      </c>
      <c r="E615">
        <v>3.9209999999999998</v>
      </c>
      <c r="F615">
        <v>9.2100000000000009</v>
      </c>
      <c r="G615">
        <v>0.92300000000000004</v>
      </c>
      <c r="L615">
        <v>1.2</v>
      </c>
      <c r="O615">
        <v>4</v>
      </c>
    </row>
    <row r="616" spans="1:15" x14ac:dyDescent="0.2">
      <c r="A616" t="s">
        <v>36</v>
      </c>
      <c r="B616">
        <v>5</v>
      </c>
      <c r="C616" s="1" t="s">
        <v>44</v>
      </c>
      <c r="D616">
        <v>2</v>
      </c>
      <c r="E616">
        <v>6.641</v>
      </c>
      <c r="F616">
        <v>8.83</v>
      </c>
      <c r="G616">
        <v>0.35799999999999998</v>
      </c>
      <c r="L616">
        <v>1.2</v>
      </c>
      <c r="O616">
        <v>4</v>
      </c>
    </row>
    <row r="617" spans="1:15" x14ac:dyDescent="0.2">
      <c r="A617" t="s">
        <v>36</v>
      </c>
      <c r="B617">
        <v>5</v>
      </c>
      <c r="C617" s="1" t="s">
        <v>44</v>
      </c>
      <c r="D617">
        <v>3</v>
      </c>
      <c r="E617">
        <v>4.3559999999999999</v>
      </c>
      <c r="F617">
        <v>10.58</v>
      </c>
      <c r="G617">
        <v>0.46600000000000003</v>
      </c>
      <c r="L617">
        <v>1.2</v>
      </c>
      <c r="O617">
        <v>4</v>
      </c>
    </row>
    <row r="618" spans="1:15" x14ac:dyDescent="0.2">
      <c r="A618" t="s">
        <v>36</v>
      </c>
      <c r="B618">
        <v>5</v>
      </c>
      <c r="C618" s="1" t="s">
        <v>44</v>
      </c>
      <c r="D618">
        <v>4</v>
      </c>
      <c r="E618">
        <v>5.0810000000000004</v>
      </c>
      <c r="F618">
        <v>11.94</v>
      </c>
      <c r="G618">
        <v>0.42099999999999999</v>
      </c>
      <c r="L618">
        <v>1.2</v>
      </c>
      <c r="O618">
        <v>4</v>
      </c>
    </row>
    <row r="619" spans="1:15" x14ac:dyDescent="0.2">
      <c r="A619" t="s">
        <v>36</v>
      </c>
      <c r="B619">
        <v>5</v>
      </c>
      <c r="C619" s="1" t="s">
        <v>44</v>
      </c>
      <c r="D619">
        <v>5</v>
      </c>
      <c r="E619">
        <v>3.0430000000000001</v>
      </c>
      <c r="F619">
        <v>12.32</v>
      </c>
      <c r="G619">
        <v>0.38300000000000001</v>
      </c>
      <c r="L619">
        <v>1.2</v>
      </c>
      <c r="O619">
        <v>4</v>
      </c>
    </row>
    <row r="620" spans="1:15" x14ac:dyDescent="0.2">
      <c r="A620" t="s">
        <v>36</v>
      </c>
      <c r="B620">
        <v>5</v>
      </c>
      <c r="C620" s="1" t="s">
        <v>44</v>
      </c>
      <c r="D620">
        <v>6</v>
      </c>
      <c r="E620">
        <v>3.742</v>
      </c>
      <c r="F620">
        <v>17.420000000000002</v>
      </c>
      <c r="G620">
        <v>0.52</v>
      </c>
      <c r="L620">
        <v>1.2</v>
      </c>
      <c r="O620">
        <v>4</v>
      </c>
    </row>
    <row r="621" spans="1:15" x14ac:dyDescent="0.2">
      <c r="A621" t="s">
        <v>36</v>
      </c>
      <c r="B621">
        <v>5</v>
      </c>
      <c r="C621" s="1" t="s">
        <v>44</v>
      </c>
      <c r="D621">
        <v>7</v>
      </c>
      <c r="E621">
        <v>4.3639999999999999</v>
      </c>
      <c r="F621">
        <v>16.05</v>
      </c>
      <c r="G621">
        <v>0.28199999999999997</v>
      </c>
      <c r="L621">
        <v>1.2</v>
      </c>
      <c r="O621">
        <v>4</v>
      </c>
    </row>
    <row r="622" spans="1:15" x14ac:dyDescent="0.2">
      <c r="A622" t="s">
        <v>36</v>
      </c>
      <c r="B622">
        <v>5</v>
      </c>
      <c r="C622" s="1" t="s">
        <v>44</v>
      </c>
      <c r="D622">
        <v>8</v>
      </c>
      <c r="E622">
        <v>2.7440000000000002</v>
      </c>
      <c r="F622">
        <v>12.94</v>
      </c>
      <c r="G622">
        <v>0.432</v>
      </c>
      <c r="L622">
        <v>1.2</v>
      </c>
      <c r="O622">
        <v>4</v>
      </c>
    </row>
    <row r="623" spans="1:15" x14ac:dyDescent="0.2">
      <c r="A623" t="s">
        <v>36</v>
      </c>
      <c r="B623">
        <v>5</v>
      </c>
      <c r="C623" s="1" t="s">
        <v>44</v>
      </c>
      <c r="D623">
        <v>9</v>
      </c>
      <c r="E623">
        <v>3.6349999999999998</v>
      </c>
      <c r="F623">
        <v>10.97</v>
      </c>
      <c r="G623">
        <v>0.45700000000000002</v>
      </c>
      <c r="L623">
        <v>1.2</v>
      </c>
      <c r="O623">
        <v>4</v>
      </c>
    </row>
    <row r="624" spans="1:15" x14ac:dyDescent="0.2">
      <c r="A624" t="s">
        <v>36</v>
      </c>
      <c r="B624">
        <v>5</v>
      </c>
      <c r="C624" s="1" t="s">
        <v>45</v>
      </c>
      <c r="D624">
        <v>1</v>
      </c>
      <c r="E624">
        <v>0.83499999999999996</v>
      </c>
      <c r="F624">
        <v>31.61</v>
      </c>
      <c r="G624">
        <v>1.4950000000000001</v>
      </c>
      <c r="L624">
        <v>1.2</v>
      </c>
      <c r="O624">
        <v>2</v>
      </c>
    </row>
    <row r="625" spans="1:15" x14ac:dyDescent="0.2">
      <c r="A625" t="s">
        <v>36</v>
      </c>
      <c r="B625">
        <v>5</v>
      </c>
      <c r="C625" s="1" t="s">
        <v>45</v>
      </c>
      <c r="D625">
        <v>2</v>
      </c>
      <c r="E625">
        <v>0.68200000000000005</v>
      </c>
      <c r="F625">
        <v>33.21</v>
      </c>
      <c r="G625">
        <v>2.0270000000000001</v>
      </c>
      <c r="L625">
        <v>1.2</v>
      </c>
      <c r="O625">
        <v>2</v>
      </c>
    </row>
    <row r="626" spans="1:15" x14ac:dyDescent="0.2">
      <c r="A626" t="s">
        <v>36</v>
      </c>
      <c r="B626">
        <v>5</v>
      </c>
      <c r="C626" s="1" t="s">
        <v>45</v>
      </c>
      <c r="D626">
        <v>3</v>
      </c>
      <c r="E626">
        <v>0.77400000000000002</v>
      </c>
      <c r="F626">
        <v>31.31</v>
      </c>
      <c r="G626">
        <v>1.331</v>
      </c>
      <c r="L626">
        <v>1.2</v>
      </c>
      <c r="O626">
        <v>2</v>
      </c>
    </row>
    <row r="627" spans="1:15" x14ac:dyDescent="0.2">
      <c r="A627" t="s">
        <v>36</v>
      </c>
      <c r="B627">
        <v>5</v>
      </c>
      <c r="C627" s="1" t="s">
        <v>45</v>
      </c>
      <c r="D627">
        <v>4</v>
      </c>
      <c r="E627">
        <v>0.55100000000000005</v>
      </c>
      <c r="F627">
        <v>36.28</v>
      </c>
      <c r="G627">
        <v>1.1779999999999999</v>
      </c>
      <c r="L627">
        <v>1.2</v>
      </c>
      <c r="O627">
        <v>2</v>
      </c>
    </row>
    <row r="628" spans="1:15" x14ac:dyDescent="0.2">
      <c r="A628" t="s">
        <v>36</v>
      </c>
      <c r="B628">
        <v>5</v>
      </c>
      <c r="C628" s="1" t="s">
        <v>45</v>
      </c>
      <c r="D628">
        <v>5</v>
      </c>
      <c r="E628">
        <v>0.82399999999999995</v>
      </c>
      <c r="F628">
        <v>25.03</v>
      </c>
      <c r="G628">
        <v>1.464</v>
      </c>
      <c r="L628">
        <v>1.2</v>
      </c>
      <c r="O628">
        <v>2</v>
      </c>
    </row>
    <row r="629" spans="1:15" x14ac:dyDescent="0.2">
      <c r="A629" t="s">
        <v>36</v>
      </c>
      <c r="B629">
        <v>5</v>
      </c>
      <c r="C629" s="1" t="s">
        <v>45</v>
      </c>
      <c r="D629">
        <v>6</v>
      </c>
      <c r="E629">
        <v>0.94499999999999995</v>
      </c>
      <c r="F629">
        <v>26.57</v>
      </c>
      <c r="G629">
        <v>1.361</v>
      </c>
      <c r="L629">
        <v>1.2</v>
      </c>
      <c r="O629">
        <v>2</v>
      </c>
    </row>
    <row r="630" spans="1:15" x14ac:dyDescent="0.2">
      <c r="A630" t="s">
        <v>36</v>
      </c>
      <c r="B630">
        <v>5</v>
      </c>
      <c r="C630" s="1" t="s">
        <v>45</v>
      </c>
      <c r="D630">
        <v>7</v>
      </c>
      <c r="E630">
        <v>0.50700000000000001</v>
      </c>
      <c r="F630">
        <v>23.55</v>
      </c>
      <c r="G630">
        <v>0.998</v>
      </c>
      <c r="L630">
        <v>1.2</v>
      </c>
      <c r="O630">
        <v>2</v>
      </c>
    </row>
    <row r="631" spans="1:15" x14ac:dyDescent="0.2">
      <c r="A631" t="s">
        <v>36</v>
      </c>
      <c r="B631">
        <v>5</v>
      </c>
      <c r="C631" s="1" t="s">
        <v>45</v>
      </c>
      <c r="D631">
        <v>8</v>
      </c>
      <c r="E631">
        <v>0.83</v>
      </c>
      <c r="F631">
        <v>44</v>
      </c>
      <c r="G631">
        <v>1.236</v>
      </c>
      <c r="L631">
        <v>1.2</v>
      </c>
      <c r="O631">
        <v>2</v>
      </c>
    </row>
    <row r="632" spans="1:15" x14ac:dyDescent="0.2">
      <c r="A632" t="s">
        <v>36</v>
      </c>
      <c r="B632">
        <v>5</v>
      </c>
      <c r="C632" s="1" t="s">
        <v>45</v>
      </c>
      <c r="D632">
        <v>9</v>
      </c>
      <c r="E632">
        <v>0.9</v>
      </c>
      <c r="F632">
        <v>24.47</v>
      </c>
      <c r="G632">
        <v>1.1659999999999999</v>
      </c>
      <c r="L632">
        <v>1.2</v>
      </c>
      <c r="O632">
        <v>2</v>
      </c>
    </row>
    <row r="633" spans="1:15" x14ac:dyDescent="0.2">
      <c r="A633" t="s">
        <v>36</v>
      </c>
      <c r="B633">
        <v>5</v>
      </c>
      <c r="C633" s="1" t="s">
        <v>46</v>
      </c>
      <c r="D633">
        <v>1</v>
      </c>
      <c r="E633">
        <v>0.47299999999999998</v>
      </c>
      <c r="F633">
        <v>51.26</v>
      </c>
      <c r="G633">
        <v>0.23499999999999999</v>
      </c>
      <c r="L633">
        <v>1.2</v>
      </c>
      <c r="O633">
        <v>1</v>
      </c>
    </row>
    <row r="634" spans="1:15" x14ac:dyDescent="0.2">
      <c r="A634" t="s">
        <v>36</v>
      </c>
      <c r="B634">
        <v>5</v>
      </c>
      <c r="C634" s="1" t="s">
        <v>46</v>
      </c>
      <c r="D634">
        <v>2</v>
      </c>
      <c r="E634">
        <v>0.39</v>
      </c>
      <c r="F634">
        <v>61.31</v>
      </c>
      <c r="G634">
        <v>0.33400000000000002</v>
      </c>
      <c r="L634">
        <v>1.2</v>
      </c>
      <c r="O634">
        <v>1</v>
      </c>
    </row>
    <row r="635" spans="1:15" x14ac:dyDescent="0.2">
      <c r="A635" t="s">
        <v>36</v>
      </c>
      <c r="B635">
        <v>5</v>
      </c>
      <c r="C635" s="1" t="s">
        <v>46</v>
      </c>
      <c r="D635">
        <v>3</v>
      </c>
      <c r="E635">
        <v>0.40400000000000003</v>
      </c>
      <c r="F635">
        <v>64.349999999999994</v>
      </c>
      <c r="G635">
        <v>0.29199999999999998</v>
      </c>
      <c r="L635">
        <v>1.2</v>
      </c>
      <c r="O635">
        <v>1</v>
      </c>
    </row>
    <row r="636" spans="1:15" x14ac:dyDescent="0.2">
      <c r="A636" t="s">
        <v>36</v>
      </c>
      <c r="B636">
        <v>5</v>
      </c>
      <c r="C636" s="1" t="s">
        <v>46</v>
      </c>
      <c r="D636">
        <v>4</v>
      </c>
      <c r="E636">
        <v>0.64</v>
      </c>
      <c r="F636">
        <v>64.239999999999995</v>
      </c>
      <c r="G636">
        <v>0.312</v>
      </c>
      <c r="L636">
        <v>1.2</v>
      </c>
      <c r="O636">
        <v>1</v>
      </c>
    </row>
    <row r="637" spans="1:15" x14ac:dyDescent="0.2">
      <c r="A637" t="s">
        <v>36</v>
      </c>
      <c r="B637">
        <v>5</v>
      </c>
      <c r="C637" s="1" t="s">
        <v>46</v>
      </c>
      <c r="D637">
        <v>5</v>
      </c>
      <c r="E637">
        <v>0.44</v>
      </c>
      <c r="F637">
        <v>47.78</v>
      </c>
      <c r="G637">
        <v>0.36799999999999999</v>
      </c>
      <c r="L637">
        <v>1.2</v>
      </c>
      <c r="O637">
        <v>1</v>
      </c>
    </row>
    <row r="638" spans="1:15" x14ac:dyDescent="0.2">
      <c r="A638" t="s">
        <v>36</v>
      </c>
      <c r="B638">
        <v>5</v>
      </c>
      <c r="C638" s="1" t="s">
        <v>46</v>
      </c>
      <c r="D638">
        <v>6</v>
      </c>
      <c r="E638">
        <v>0.41</v>
      </c>
      <c r="F638">
        <v>42.41</v>
      </c>
      <c r="G638">
        <v>0.187</v>
      </c>
      <c r="L638">
        <v>1.2</v>
      </c>
      <c r="O638">
        <v>1</v>
      </c>
    </row>
    <row r="639" spans="1:15" x14ac:dyDescent="0.2">
      <c r="A639" t="s">
        <v>36</v>
      </c>
      <c r="B639">
        <v>5</v>
      </c>
      <c r="C639" s="1" t="s">
        <v>46</v>
      </c>
      <c r="D639">
        <v>7</v>
      </c>
      <c r="E639">
        <v>0.39700000000000002</v>
      </c>
      <c r="F639">
        <v>62.8</v>
      </c>
      <c r="G639">
        <v>0.22900000000000001</v>
      </c>
      <c r="L639">
        <v>1.2</v>
      </c>
      <c r="O639">
        <v>1</v>
      </c>
    </row>
    <row r="640" spans="1:15" x14ac:dyDescent="0.2">
      <c r="A640" t="s">
        <v>36</v>
      </c>
      <c r="B640">
        <v>5</v>
      </c>
      <c r="C640" s="1" t="s">
        <v>46</v>
      </c>
      <c r="D640">
        <v>8</v>
      </c>
      <c r="E640">
        <v>0.41299999999999998</v>
      </c>
      <c r="F640">
        <v>48.03</v>
      </c>
      <c r="G640">
        <v>0.26200000000000001</v>
      </c>
      <c r="L640">
        <v>1.2</v>
      </c>
      <c r="O640">
        <v>1</v>
      </c>
    </row>
    <row r="641" spans="1:15" x14ac:dyDescent="0.2">
      <c r="A641" t="s">
        <v>36</v>
      </c>
      <c r="B641">
        <v>5</v>
      </c>
      <c r="C641" s="1" t="s">
        <v>46</v>
      </c>
      <c r="D641">
        <v>9</v>
      </c>
      <c r="E641">
        <v>0.45400000000000001</v>
      </c>
      <c r="F641">
        <v>51.18</v>
      </c>
      <c r="G641">
        <v>0.24299999999999999</v>
      </c>
      <c r="L641">
        <v>1.2</v>
      </c>
      <c r="O641">
        <v>1</v>
      </c>
    </row>
    <row r="642" spans="1:15" x14ac:dyDescent="0.2">
      <c r="A642" t="s">
        <v>36</v>
      </c>
      <c r="B642">
        <v>6</v>
      </c>
      <c r="C642" s="1" t="s">
        <v>38</v>
      </c>
      <c r="D642">
        <v>1</v>
      </c>
      <c r="E642">
        <v>0.57899999999999996</v>
      </c>
      <c r="F642">
        <v>16.91</v>
      </c>
      <c r="G642">
        <v>0.79</v>
      </c>
      <c r="L642">
        <v>0.59</v>
      </c>
      <c r="O642">
        <v>11</v>
      </c>
    </row>
    <row r="643" spans="1:15" x14ac:dyDescent="0.2">
      <c r="A643" t="s">
        <v>36</v>
      </c>
      <c r="B643">
        <v>6</v>
      </c>
      <c r="C643" s="1" t="s">
        <v>38</v>
      </c>
      <c r="D643">
        <v>2</v>
      </c>
      <c r="E643">
        <v>0.80800000000000005</v>
      </c>
      <c r="F643">
        <v>11.92</v>
      </c>
      <c r="G643">
        <v>0.48099999999999998</v>
      </c>
      <c r="L643">
        <v>0.59</v>
      </c>
      <c r="O643">
        <v>11</v>
      </c>
    </row>
    <row r="644" spans="1:15" x14ac:dyDescent="0.2">
      <c r="A644" t="s">
        <v>36</v>
      </c>
      <c r="B644">
        <v>6</v>
      </c>
      <c r="C644" s="1" t="s">
        <v>38</v>
      </c>
      <c r="D644">
        <v>3</v>
      </c>
      <c r="E644">
        <v>0.55800000000000005</v>
      </c>
      <c r="F644">
        <v>14.42</v>
      </c>
      <c r="G644">
        <v>0.24099999999999999</v>
      </c>
      <c r="L644">
        <v>0.59</v>
      </c>
      <c r="O644">
        <v>11</v>
      </c>
    </row>
    <row r="645" spans="1:15" x14ac:dyDescent="0.2">
      <c r="A645" t="s">
        <v>36</v>
      </c>
      <c r="B645">
        <v>6</v>
      </c>
      <c r="C645" s="1" t="s">
        <v>38</v>
      </c>
      <c r="D645">
        <v>4</v>
      </c>
      <c r="E645">
        <v>0.75700000000000001</v>
      </c>
      <c r="F645">
        <v>18.739999999999998</v>
      </c>
      <c r="G645">
        <v>0.44800000000000001</v>
      </c>
      <c r="L645">
        <v>0.59</v>
      </c>
      <c r="O645">
        <v>11</v>
      </c>
    </row>
    <row r="646" spans="1:15" x14ac:dyDescent="0.2">
      <c r="A646" t="s">
        <v>36</v>
      </c>
      <c r="B646">
        <v>6</v>
      </c>
      <c r="C646" s="1" t="s">
        <v>38</v>
      </c>
      <c r="D646">
        <v>5</v>
      </c>
      <c r="E646">
        <v>0.86</v>
      </c>
      <c r="F646">
        <v>12.41</v>
      </c>
      <c r="G646">
        <v>0.376</v>
      </c>
      <c r="L646">
        <v>0.59</v>
      </c>
      <c r="O646">
        <v>11</v>
      </c>
    </row>
    <row r="647" spans="1:15" x14ac:dyDescent="0.2">
      <c r="A647" t="s">
        <v>36</v>
      </c>
      <c r="B647">
        <v>6</v>
      </c>
      <c r="C647" s="1" t="s">
        <v>38</v>
      </c>
      <c r="D647">
        <v>6</v>
      </c>
      <c r="E647">
        <v>0.65200000000000002</v>
      </c>
      <c r="F647">
        <v>12.11</v>
      </c>
      <c r="G647">
        <v>0.51500000000000001</v>
      </c>
      <c r="L647">
        <v>0.59</v>
      </c>
      <c r="O647">
        <v>11</v>
      </c>
    </row>
    <row r="648" spans="1:15" x14ac:dyDescent="0.2">
      <c r="A648" t="s">
        <v>36</v>
      </c>
      <c r="B648">
        <v>6</v>
      </c>
      <c r="C648" s="1" t="s">
        <v>38</v>
      </c>
      <c r="D648">
        <v>7</v>
      </c>
      <c r="E648">
        <v>0.74399999999999999</v>
      </c>
      <c r="F648">
        <v>12.1</v>
      </c>
      <c r="G648">
        <v>0.78500000000000003</v>
      </c>
      <c r="L648">
        <v>0.59</v>
      </c>
      <c r="O648">
        <v>11</v>
      </c>
    </row>
    <row r="649" spans="1:15" x14ac:dyDescent="0.2">
      <c r="A649" t="s">
        <v>36</v>
      </c>
      <c r="B649">
        <v>6</v>
      </c>
      <c r="C649" s="1" t="s">
        <v>38</v>
      </c>
      <c r="D649">
        <v>8</v>
      </c>
      <c r="E649">
        <v>0.51800000000000002</v>
      </c>
      <c r="F649">
        <v>14.8</v>
      </c>
      <c r="G649">
        <v>0.54</v>
      </c>
      <c r="L649">
        <v>0.59</v>
      </c>
      <c r="O649">
        <v>11</v>
      </c>
    </row>
    <row r="650" spans="1:15" x14ac:dyDescent="0.2">
      <c r="A650" t="s">
        <v>36</v>
      </c>
      <c r="B650">
        <v>6</v>
      </c>
      <c r="C650" s="1" t="s">
        <v>38</v>
      </c>
      <c r="D650">
        <v>9</v>
      </c>
      <c r="E650">
        <v>0.52500000000000002</v>
      </c>
      <c r="F650">
        <v>12.63</v>
      </c>
      <c r="G650">
        <v>0.55300000000000005</v>
      </c>
      <c r="L650">
        <v>0.59</v>
      </c>
      <c r="O650">
        <v>11</v>
      </c>
    </row>
    <row r="651" spans="1:15" x14ac:dyDescent="0.2">
      <c r="A651" t="s">
        <v>36</v>
      </c>
      <c r="B651">
        <v>6</v>
      </c>
      <c r="C651" s="1" t="s">
        <v>13</v>
      </c>
      <c r="D651">
        <v>1</v>
      </c>
      <c r="E651">
        <v>1.9410000000000001</v>
      </c>
      <c r="F651">
        <v>11.76</v>
      </c>
      <c r="G651">
        <v>0.20300000000000001</v>
      </c>
      <c r="L651">
        <v>0.59</v>
      </c>
      <c r="O651">
        <v>1</v>
      </c>
    </row>
    <row r="652" spans="1:15" x14ac:dyDescent="0.2">
      <c r="A652" t="s">
        <v>36</v>
      </c>
      <c r="B652">
        <v>6</v>
      </c>
      <c r="C652" s="1" t="s">
        <v>13</v>
      </c>
      <c r="D652">
        <v>2</v>
      </c>
      <c r="E652">
        <v>2.82</v>
      </c>
      <c r="F652">
        <v>15.16</v>
      </c>
      <c r="G652">
        <v>0.24099999999999999</v>
      </c>
      <c r="L652">
        <v>0.59</v>
      </c>
      <c r="O652">
        <v>1</v>
      </c>
    </row>
    <row r="653" spans="1:15" x14ac:dyDescent="0.2">
      <c r="A653" t="s">
        <v>36</v>
      </c>
      <c r="B653">
        <v>6</v>
      </c>
      <c r="C653" s="1" t="s">
        <v>13</v>
      </c>
      <c r="D653">
        <v>3</v>
      </c>
      <c r="E653">
        <v>2.8039999999999998</v>
      </c>
      <c r="F653">
        <v>13.57</v>
      </c>
      <c r="G653">
        <v>0.20699999999999999</v>
      </c>
      <c r="L653">
        <v>0.59</v>
      </c>
      <c r="O653">
        <v>1</v>
      </c>
    </row>
    <row r="654" spans="1:15" x14ac:dyDescent="0.2">
      <c r="A654" t="s">
        <v>36</v>
      </c>
      <c r="B654">
        <v>6</v>
      </c>
      <c r="C654" s="1" t="s">
        <v>13</v>
      </c>
      <c r="D654">
        <v>4</v>
      </c>
      <c r="E654">
        <v>2.6</v>
      </c>
      <c r="F654">
        <v>6.87</v>
      </c>
      <c r="G654">
        <v>0.223</v>
      </c>
      <c r="L654">
        <v>0.59</v>
      </c>
      <c r="O654">
        <v>1</v>
      </c>
    </row>
    <row r="655" spans="1:15" x14ac:dyDescent="0.2">
      <c r="A655" t="s">
        <v>36</v>
      </c>
      <c r="B655">
        <v>6</v>
      </c>
      <c r="C655" s="1" t="s">
        <v>13</v>
      </c>
      <c r="D655">
        <v>5</v>
      </c>
      <c r="E655">
        <v>2.1190000000000002</v>
      </c>
      <c r="F655">
        <v>12.16</v>
      </c>
      <c r="G655">
        <v>0.161</v>
      </c>
      <c r="L655">
        <v>0.59</v>
      </c>
      <c r="O655">
        <v>1</v>
      </c>
    </row>
    <row r="656" spans="1:15" x14ac:dyDescent="0.2">
      <c r="A656" t="s">
        <v>36</v>
      </c>
      <c r="B656">
        <v>6</v>
      </c>
      <c r="C656" s="1" t="s">
        <v>13</v>
      </c>
      <c r="D656">
        <v>6</v>
      </c>
      <c r="E656">
        <v>3.7050000000000001</v>
      </c>
      <c r="F656">
        <v>11.21</v>
      </c>
      <c r="G656">
        <v>0.17299999999999999</v>
      </c>
      <c r="L656">
        <v>0.59</v>
      </c>
      <c r="O656">
        <v>1</v>
      </c>
    </row>
    <row r="657" spans="1:15" x14ac:dyDescent="0.2">
      <c r="A657" t="s">
        <v>36</v>
      </c>
      <c r="B657">
        <v>6</v>
      </c>
      <c r="C657" s="1" t="s">
        <v>13</v>
      </c>
      <c r="D657">
        <v>7</v>
      </c>
      <c r="E657">
        <v>2.633</v>
      </c>
      <c r="F657">
        <v>13.58</v>
      </c>
      <c r="G657">
        <v>0.20599999999999999</v>
      </c>
      <c r="L657">
        <v>0.59</v>
      </c>
      <c r="O657">
        <v>1</v>
      </c>
    </row>
    <row r="658" spans="1:15" x14ac:dyDescent="0.2">
      <c r="A658" t="s">
        <v>36</v>
      </c>
      <c r="B658">
        <v>6</v>
      </c>
      <c r="C658" s="1" t="s">
        <v>13</v>
      </c>
      <c r="D658">
        <v>8</v>
      </c>
      <c r="E658">
        <v>3.504</v>
      </c>
      <c r="F658">
        <v>11.21</v>
      </c>
      <c r="G658">
        <v>0.24399999999999999</v>
      </c>
      <c r="L658">
        <v>0.59</v>
      </c>
      <c r="O658">
        <v>1</v>
      </c>
    </row>
    <row r="659" spans="1:15" x14ac:dyDescent="0.2">
      <c r="A659" t="s">
        <v>36</v>
      </c>
      <c r="B659">
        <v>6</v>
      </c>
      <c r="C659" s="1" t="s">
        <v>13</v>
      </c>
      <c r="D659">
        <v>9</v>
      </c>
      <c r="E659">
        <v>2.4340000000000002</v>
      </c>
      <c r="F659">
        <v>9.59</v>
      </c>
      <c r="G659">
        <v>0.22</v>
      </c>
      <c r="L659">
        <v>0.59</v>
      </c>
      <c r="O659">
        <v>1</v>
      </c>
    </row>
    <row r="660" spans="1:15" x14ac:dyDescent="0.2">
      <c r="A660" t="s">
        <v>36</v>
      </c>
      <c r="B660">
        <v>6</v>
      </c>
      <c r="C660" s="1" t="s">
        <v>39</v>
      </c>
      <c r="D660">
        <v>1</v>
      </c>
      <c r="E660">
        <v>2.5619999999999998</v>
      </c>
      <c r="F660">
        <v>11.35</v>
      </c>
      <c r="G660">
        <v>0.23100000000000001</v>
      </c>
      <c r="L660">
        <v>0.59</v>
      </c>
      <c r="O660">
        <v>15</v>
      </c>
    </row>
    <row r="661" spans="1:15" x14ac:dyDescent="0.2">
      <c r="A661" t="s">
        <v>36</v>
      </c>
      <c r="B661">
        <v>6</v>
      </c>
      <c r="C661" s="1" t="s">
        <v>39</v>
      </c>
      <c r="D661">
        <v>2</v>
      </c>
      <c r="E661">
        <v>2.5070000000000001</v>
      </c>
      <c r="F661">
        <v>10.68</v>
      </c>
      <c r="G661">
        <v>0.122</v>
      </c>
      <c r="L661">
        <v>0.59</v>
      </c>
      <c r="O661">
        <v>15</v>
      </c>
    </row>
    <row r="662" spans="1:15" x14ac:dyDescent="0.2">
      <c r="A662" t="s">
        <v>36</v>
      </c>
      <c r="B662">
        <v>6</v>
      </c>
      <c r="C662" s="1" t="s">
        <v>39</v>
      </c>
      <c r="D662">
        <v>3</v>
      </c>
      <c r="E662">
        <v>3.2789999999999999</v>
      </c>
      <c r="F662">
        <v>8.2799999999999994</v>
      </c>
      <c r="G662">
        <v>0.11700000000000001</v>
      </c>
      <c r="L662">
        <v>0.59</v>
      </c>
      <c r="O662">
        <v>15</v>
      </c>
    </row>
    <row r="663" spans="1:15" x14ac:dyDescent="0.2">
      <c r="A663" t="s">
        <v>36</v>
      </c>
      <c r="B663">
        <v>6</v>
      </c>
      <c r="C663" s="1" t="s">
        <v>39</v>
      </c>
      <c r="D663">
        <v>4</v>
      </c>
      <c r="E663">
        <v>1.742</v>
      </c>
      <c r="F663">
        <v>16.61</v>
      </c>
      <c r="G663">
        <v>0.14899999999999999</v>
      </c>
      <c r="L663">
        <v>0.59</v>
      </c>
      <c r="O663">
        <v>15</v>
      </c>
    </row>
    <row r="664" spans="1:15" x14ac:dyDescent="0.2">
      <c r="A664" t="s">
        <v>36</v>
      </c>
      <c r="B664">
        <v>6</v>
      </c>
      <c r="C664" s="1" t="s">
        <v>39</v>
      </c>
      <c r="D664">
        <v>5</v>
      </c>
      <c r="E664">
        <v>1.2450000000000001</v>
      </c>
      <c r="F664">
        <v>13.41</v>
      </c>
      <c r="G664">
        <v>0.108</v>
      </c>
      <c r="L664">
        <v>0.59</v>
      </c>
      <c r="O664">
        <v>15</v>
      </c>
    </row>
    <row r="665" spans="1:15" x14ac:dyDescent="0.2">
      <c r="A665" t="s">
        <v>36</v>
      </c>
      <c r="B665">
        <v>6</v>
      </c>
      <c r="C665" s="1" t="s">
        <v>39</v>
      </c>
      <c r="D665">
        <v>6</v>
      </c>
      <c r="E665">
        <v>2.0179999999999998</v>
      </c>
      <c r="F665">
        <v>13.7</v>
      </c>
      <c r="G665">
        <v>0.23699999999999999</v>
      </c>
      <c r="L665">
        <v>0.59</v>
      </c>
      <c r="O665">
        <v>15</v>
      </c>
    </row>
    <row r="666" spans="1:15" x14ac:dyDescent="0.2">
      <c r="A666" t="s">
        <v>36</v>
      </c>
      <c r="B666">
        <v>6</v>
      </c>
      <c r="C666" s="1" t="s">
        <v>39</v>
      </c>
      <c r="D666">
        <v>7</v>
      </c>
      <c r="E666">
        <v>1.6739999999999999</v>
      </c>
      <c r="F666">
        <v>17.61</v>
      </c>
      <c r="G666">
        <v>0.16700000000000001</v>
      </c>
      <c r="L666">
        <v>0.59</v>
      </c>
      <c r="O666">
        <v>15</v>
      </c>
    </row>
    <row r="667" spans="1:15" x14ac:dyDescent="0.2">
      <c r="A667" t="s">
        <v>36</v>
      </c>
      <c r="B667">
        <v>6</v>
      </c>
      <c r="C667" s="1" t="s">
        <v>39</v>
      </c>
      <c r="D667">
        <v>8</v>
      </c>
      <c r="E667">
        <v>1.5840000000000001</v>
      </c>
      <c r="F667">
        <v>11.65</v>
      </c>
      <c r="G667">
        <v>0.109</v>
      </c>
      <c r="L667">
        <v>0.59</v>
      </c>
      <c r="O667">
        <v>15</v>
      </c>
    </row>
    <row r="668" spans="1:15" x14ac:dyDescent="0.2">
      <c r="A668" t="s">
        <v>36</v>
      </c>
      <c r="B668">
        <v>6</v>
      </c>
      <c r="C668" s="1" t="s">
        <v>39</v>
      </c>
      <c r="D668">
        <v>9</v>
      </c>
      <c r="E668">
        <v>2.1619999999999999</v>
      </c>
      <c r="F668">
        <v>12.45</v>
      </c>
      <c r="G668">
        <v>0.22800000000000001</v>
      </c>
      <c r="L668">
        <v>0.59</v>
      </c>
      <c r="O668">
        <v>15</v>
      </c>
    </row>
    <row r="669" spans="1:15" x14ac:dyDescent="0.2">
      <c r="A669" t="s">
        <v>36</v>
      </c>
      <c r="B669">
        <v>6</v>
      </c>
      <c r="C669" s="1" t="s">
        <v>40</v>
      </c>
      <c r="D669">
        <v>1</v>
      </c>
      <c r="E669">
        <v>0.44800000000000001</v>
      </c>
      <c r="F669">
        <v>57.66</v>
      </c>
      <c r="G669">
        <v>0.34200000000000003</v>
      </c>
      <c r="L669">
        <v>0.59</v>
      </c>
      <c r="O669">
        <v>3</v>
      </c>
    </row>
    <row r="670" spans="1:15" x14ac:dyDescent="0.2">
      <c r="A670" t="s">
        <v>36</v>
      </c>
      <c r="B670">
        <v>6</v>
      </c>
      <c r="C670" s="1" t="s">
        <v>40</v>
      </c>
      <c r="D670">
        <v>2</v>
      </c>
      <c r="E670">
        <v>0.40300000000000002</v>
      </c>
      <c r="F670">
        <v>58.28</v>
      </c>
      <c r="G670">
        <v>0.24399999999999999</v>
      </c>
      <c r="L670">
        <v>0.59</v>
      </c>
      <c r="O670">
        <v>3</v>
      </c>
    </row>
    <row r="671" spans="1:15" x14ac:dyDescent="0.2">
      <c r="A671" t="s">
        <v>36</v>
      </c>
      <c r="B671">
        <v>6</v>
      </c>
      <c r="C671" s="1" t="s">
        <v>40</v>
      </c>
      <c r="D671">
        <v>3</v>
      </c>
      <c r="E671">
        <v>0.36199999999999999</v>
      </c>
      <c r="F671">
        <v>45.84</v>
      </c>
      <c r="G671">
        <v>0.24199999999999999</v>
      </c>
      <c r="L671">
        <v>0.59</v>
      </c>
      <c r="O671">
        <v>3</v>
      </c>
    </row>
    <row r="672" spans="1:15" x14ac:dyDescent="0.2">
      <c r="A672" t="s">
        <v>36</v>
      </c>
      <c r="B672">
        <v>6</v>
      </c>
      <c r="C672" s="1" t="s">
        <v>40</v>
      </c>
      <c r="D672">
        <v>4</v>
      </c>
      <c r="E672">
        <v>0.44900000000000001</v>
      </c>
      <c r="F672">
        <v>73.040000000000006</v>
      </c>
      <c r="G672">
        <v>0.32800000000000001</v>
      </c>
      <c r="L672">
        <v>0.59</v>
      </c>
      <c r="O672">
        <v>3</v>
      </c>
    </row>
    <row r="673" spans="1:15" x14ac:dyDescent="0.2">
      <c r="A673" t="s">
        <v>36</v>
      </c>
      <c r="B673">
        <v>6</v>
      </c>
      <c r="C673" s="1" t="s">
        <v>40</v>
      </c>
      <c r="D673">
        <v>5</v>
      </c>
      <c r="E673">
        <v>0.434</v>
      </c>
      <c r="F673">
        <v>70.94</v>
      </c>
      <c r="G673">
        <v>0.25</v>
      </c>
      <c r="L673">
        <v>0.59</v>
      </c>
      <c r="O673">
        <v>3</v>
      </c>
    </row>
    <row r="674" spans="1:15" x14ac:dyDescent="0.2">
      <c r="A674" t="s">
        <v>36</v>
      </c>
      <c r="B674">
        <v>6</v>
      </c>
      <c r="C674" s="1" t="s">
        <v>40</v>
      </c>
      <c r="D674">
        <v>6</v>
      </c>
      <c r="E674">
        <v>0.433</v>
      </c>
      <c r="F674">
        <v>54.34</v>
      </c>
      <c r="G674">
        <v>0.253</v>
      </c>
      <c r="L674">
        <v>0.59</v>
      </c>
      <c r="O674">
        <v>3</v>
      </c>
    </row>
    <row r="675" spans="1:15" x14ac:dyDescent="0.2">
      <c r="A675" t="s">
        <v>36</v>
      </c>
      <c r="B675">
        <v>6</v>
      </c>
      <c r="C675" s="1" t="s">
        <v>40</v>
      </c>
      <c r="D675">
        <v>7</v>
      </c>
      <c r="E675">
        <v>0.39200000000000002</v>
      </c>
      <c r="F675">
        <v>43.94</v>
      </c>
      <c r="G675">
        <v>0.28999999999999998</v>
      </c>
      <c r="L675">
        <v>0.59</v>
      </c>
      <c r="O675">
        <v>3</v>
      </c>
    </row>
    <row r="676" spans="1:15" x14ac:dyDescent="0.2">
      <c r="A676" t="s">
        <v>36</v>
      </c>
      <c r="B676">
        <v>6</v>
      </c>
      <c r="C676" s="1" t="s">
        <v>40</v>
      </c>
      <c r="D676">
        <v>8</v>
      </c>
      <c r="E676">
        <v>0.42399999999999999</v>
      </c>
      <c r="F676">
        <v>65.91</v>
      </c>
      <c r="G676">
        <v>0.21199999999999999</v>
      </c>
      <c r="L676">
        <v>0.59</v>
      </c>
      <c r="O676">
        <v>3</v>
      </c>
    </row>
    <row r="677" spans="1:15" x14ac:dyDescent="0.2">
      <c r="A677" t="s">
        <v>36</v>
      </c>
      <c r="B677">
        <v>6</v>
      </c>
      <c r="C677" s="1" t="s">
        <v>40</v>
      </c>
      <c r="D677">
        <v>9</v>
      </c>
      <c r="E677">
        <v>0.48499999999999999</v>
      </c>
      <c r="F677">
        <v>50.25</v>
      </c>
      <c r="G677">
        <v>0.26</v>
      </c>
      <c r="L677">
        <v>0.59</v>
      </c>
      <c r="O677">
        <v>3</v>
      </c>
    </row>
    <row r="678" spans="1:15" x14ac:dyDescent="0.2">
      <c r="A678" t="s">
        <v>36</v>
      </c>
      <c r="B678">
        <v>6</v>
      </c>
      <c r="C678" s="1" t="s">
        <v>41</v>
      </c>
      <c r="D678">
        <v>1</v>
      </c>
      <c r="E678">
        <v>0.45500000000000002</v>
      </c>
      <c r="F678">
        <v>46.3</v>
      </c>
      <c r="G678">
        <v>0.25</v>
      </c>
      <c r="L678">
        <v>0.59</v>
      </c>
      <c r="O678">
        <v>6</v>
      </c>
    </row>
    <row r="679" spans="1:15" x14ac:dyDescent="0.2">
      <c r="A679" t="s">
        <v>36</v>
      </c>
      <c r="B679">
        <v>6</v>
      </c>
      <c r="C679" s="1" t="s">
        <v>41</v>
      </c>
      <c r="D679">
        <v>2</v>
      </c>
      <c r="E679">
        <v>0.42499999999999999</v>
      </c>
      <c r="F679">
        <v>64.98</v>
      </c>
      <c r="G679">
        <v>0.26900000000000002</v>
      </c>
      <c r="L679">
        <v>0.59</v>
      </c>
      <c r="O679">
        <v>6</v>
      </c>
    </row>
    <row r="680" spans="1:15" x14ac:dyDescent="0.2">
      <c r="A680" t="s">
        <v>36</v>
      </c>
      <c r="B680">
        <v>6</v>
      </c>
      <c r="C680" s="1" t="s">
        <v>41</v>
      </c>
      <c r="D680">
        <v>3</v>
      </c>
      <c r="E680">
        <v>0.35599999999999998</v>
      </c>
      <c r="F680">
        <v>42.4</v>
      </c>
      <c r="G680">
        <v>0.38500000000000001</v>
      </c>
      <c r="L680">
        <v>0.59</v>
      </c>
      <c r="O680">
        <v>6</v>
      </c>
    </row>
    <row r="681" spans="1:15" x14ac:dyDescent="0.2">
      <c r="A681" t="s">
        <v>36</v>
      </c>
      <c r="B681">
        <v>6</v>
      </c>
      <c r="C681" s="1" t="s">
        <v>41</v>
      </c>
      <c r="D681">
        <v>4</v>
      </c>
      <c r="E681">
        <v>0.41599999999999998</v>
      </c>
      <c r="F681">
        <v>42.08</v>
      </c>
      <c r="G681">
        <v>0.25</v>
      </c>
      <c r="L681">
        <v>0.59</v>
      </c>
      <c r="O681">
        <v>6</v>
      </c>
    </row>
    <row r="682" spans="1:15" x14ac:dyDescent="0.2">
      <c r="A682" t="s">
        <v>36</v>
      </c>
      <c r="B682">
        <v>6</v>
      </c>
      <c r="C682" s="1" t="s">
        <v>41</v>
      </c>
      <c r="D682">
        <v>5</v>
      </c>
      <c r="E682">
        <v>0.42299999999999999</v>
      </c>
      <c r="F682">
        <v>61.85</v>
      </c>
      <c r="G682">
        <v>0.34300000000000003</v>
      </c>
      <c r="L682">
        <v>0.59</v>
      </c>
      <c r="O682">
        <v>6</v>
      </c>
    </row>
    <row r="683" spans="1:15" x14ac:dyDescent="0.2">
      <c r="A683" t="s">
        <v>36</v>
      </c>
      <c r="B683">
        <v>6</v>
      </c>
      <c r="C683" s="1" t="s">
        <v>41</v>
      </c>
      <c r="D683">
        <v>6</v>
      </c>
      <c r="E683">
        <v>0.46700000000000003</v>
      </c>
      <c r="F683">
        <v>72.14</v>
      </c>
      <c r="G683">
        <v>0.30099999999999999</v>
      </c>
      <c r="L683">
        <v>0.59</v>
      </c>
      <c r="O683">
        <v>6</v>
      </c>
    </row>
    <row r="684" spans="1:15" x14ac:dyDescent="0.2">
      <c r="A684" t="s">
        <v>36</v>
      </c>
      <c r="B684">
        <v>6</v>
      </c>
      <c r="C684" s="1" t="s">
        <v>41</v>
      </c>
      <c r="D684">
        <v>7</v>
      </c>
      <c r="E684">
        <v>0.41499999999999998</v>
      </c>
      <c r="F684">
        <v>59.96</v>
      </c>
      <c r="G684">
        <v>0.221</v>
      </c>
      <c r="L684">
        <v>0.59</v>
      </c>
      <c r="O684">
        <v>6</v>
      </c>
    </row>
    <row r="685" spans="1:15" x14ac:dyDescent="0.2">
      <c r="A685" t="s">
        <v>36</v>
      </c>
      <c r="B685">
        <v>6</v>
      </c>
      <c r="C685" s="1" t="s">
        <v>41</v>
      </c>
      <c r="D685">
        <v>8</v>
      </c>
      <c r="E685">
        <v>0.45300000000000001</v>
      </c>
      <c r="F685">
        <v>68.25</v>
      </c>
      <c r="G685">
        <v>0.22900000000000001</v>
      </c>
      <c r="L685">
        <v>0.59</v>
      </c>
      <c r="O685">
        <v>6</v>
      </c>
    </row>
    <row r="686" spans="1:15" x14ac:dyDescent="0.2">
      <c r="A686" t="s">
        <v>36</v>
      </c>
      <c r="B686">
        <v>6</v>
      </c>
      <c r="C686" s="1" t="s">
        <v>41</v>
      </c>
      <c r="D686">
        <v>9</v>
      </c>
      <c r="E686">
        <v>0.41899999999999998</v>
      </c>
      <c r="F686">
        <v>64.37</v>
      </c>
      <c r="G686">
        <v>0.24</v>
      </c>
      <c r="L686">
        <v>0.59</v>
      </c>
      <c r="O686">
        <v>6</v>
      </c>
    </row>
    <row r="687" spans="1:15" x14ac:dyDescent="0.2">
      <c r="A687" t="s">
        <v>36</v>
      </c>
      <c r="B687">
        <v>6</v>
      </c>
      <c r="C687" s="1" t="s">
        <v>42</v>
      </c>
      <c r="D687">
        <v>1</v>
      </c>
      <c r="E687">
        <v>0.27</v>
      </c>
      <c r="F687">
        <v>11.55</v>
      </c>
      <c r="G687">
        <v>0.62</v>
      </c>
      <c r="L687">
        <v>0.59</v>
      </c>
      <c r="O687">
        <v>43</v>
      </c>
    </row>
    <row r="688" spans="1:15" x14ac:dyDescent="0.2">
      <c r="A688" t="s">
        <v>36</v>
      </c>
      <c r="B688">
        <v>6</v>
      </c>
      <c r="C688" s="1" t="s">
        <v>42</v>
      </c>
      <c r="D688">
        <v>2</v>
      </c>
      <c r="E688">
        <v>0.27700000000000002</v>
      </c>
      <c r="F688">
        <v>14.23</v>
      </c>
      <c r="G688">
        <v>0.54400000000000004</v>
      </c>
      <c r="L688">
        <v>0.59</v>
      </c>
      <c r="O688">
        <v>43</v>
      </c>
    </row>
    <row r="689" spans="1:15" x14ac:dyDescent="0.2">
      <c r="A689" t="s">
        <v>36</v>
      </c>
      <c r="B689">
        <v>6</v>
      </c>
      <c r="C689" s="1" t="s">
        <v>42</v>
      </c>
      <c r="D689">
        <v>3</v>
      </c>
      <c r="E689">
        <v>0.30199999999999999</v>
      </c>
      <c r="F689">
        <v>10.27</v>
      </c>
      <c r="G689">
        <v>0.53500000000000003</v>
      </c>
      <c r="L689">
        <v>0.59</v>
      </c>
      <c r="O689">
        <v>43</v>
      </c>
    </row>
    <row r="690" spans="1:15" x14ac:dyDescent="0.2">
      <c r="A690" t="s">
        <v>36</v>
      </c>
      <c r="B690">
        <v>6</v>
      </c>
      <c r="C690" s="1" t="s">
        <v>42</v>
      </c>
      <c r="D690">
        <v>4</v>
      </c>
      <c r="E690">
        <v>0.36199999999999999</v>
      </c>
      <c r="F690">
        <v>14.57</v>
      </c>
      <c r="G690">
        <v>0.35299999999999998</v>
      </c>
      <c r="L690">
        <v>0.59</v>
      </c>
      <c r="O690">
        <v>43</v>
      </c>
    </row>
    <row r="691" spans="1:15" x14ac:dyDescent="0.2">
      <c r="A691" t="s">
        <v>36</v>
      </c>
      <c r="B691">
        <v>6</v>
      </c>
      <c r="C691" s="1" t="s">
        <v>42</v>
      </c>
      <c r="D691">
        <v>5</v>
      </c>
      <c r="E691">
        <v>0.251</v>
      </c>
      <c r="F691">
        <v>13.3</v>
      </c>
      <c r="G691">
        <v>1.016</v>
      </c>
      <c r="L691">
        <v>0.59</v>
      </c>
      <c r="O691">
        <v>43</v>
      </c>
    </row>
    <row r="692" spans="1:15" x14ac:dyDescent="0.2">
      <c r="A692" t="s">
        <v>36</v>
      </c>
      <c r="B692">
        <v>6</v>
      </c>
      <c r="C692" s="1" t="s">
        <v>42</v>
      </c>
      <c r="D692">
        <v>6</v>
      </c>
      <c r="E692">
        <v>0.30499999999999999</v>
      </c>
      <c r="F692">
        <v>9.1</v>
      </c>
      <c r="G692">
        <v>0.68799999999999994</v>
      </c>
      <c r="L692">
        <v>0.59</v>
      </c>
      <c r="O692">
        <v>43</v>
      </c>
    </row>
    <row r="693" spans="1:15" x14ac:dyDescent="0.2">
      <c r="A693" t="s">
        <v>36</v>
      </c>
      <c r="B693">
        <v>6</v>
      </c>
      <c r="C693" s="1" t="s">
        <v>42</v>
      </c>
      <c r="D693">
        <v>7</v>
      </c>
      <c r="E693">
        <v>0.34</v>
      </c>
      <c r="F693">
        <v>14.29</v>
      </c>
      <c r="G693">
        <v>0.79300000000000004</v>
      </c>
      <c r="L693">
        <v>0.59</v>
      </c>
      <c r="O693">
        <v>43</v>
      </c>
    </row>
    <row r="694" spans="1:15" x14ac:dyDescent="0.2">
      <c r="A694" t="s">
        <v>36</v>
      </c>
      <c r="B694">
        <v>6</v>
      </c>
      <c r="C694" s="1" t="s">
        <v>42</v>
      </c>
      <c r="D694">
        <v>8</v>
      </c>
      <c r="E694">
        <v>0.30199999999999999</v>
      </c>
      <c r="F694">
        <v>8.2200000000000006</v>
      </c>
      <c r="G694">
        <v>0.745</v>
      </c>
      <c r="L694">
        <v>0.59</v>
      </c>
      <c r="O694">
        <v>43</v>
      </c>
    </row>
    <row r="695" spans="1:15" x14ac:dyDescent="0.2">
      <c r="A695" t="s">
        <v>36</v>
      </c>
      <c r="B695">
        <v>6</v>
      </c>
      <c r="C695" s="1" t="s">
        <v>42</v>
      </c>
      <c r="D695">
        <v>9</v>
      </c>
      <c r="E695">
        <v>0.28299999999999997</v>
      </c>
      <c r="F695">
        <v>9.09</v>
      </c>
      <c r="G695">
        <v>0.91200000000000003</v>
      </c>
      <c r="L695">
        <v>0.59</v>
      </c>
      <c r="O695">
        <v>43</v>
      </c>
    </row>
    <row r="696" spans="1:15" x14ac:dyDescent="0.2">
      <c r="A696" t="s">
        <v>36</v>
      </c>
      <c r="B696">
        <v>6</v>
      </c>
      <c r="C696" s="1" t="s">
        <v>43</v>
      </c>
      <c r="D696">
        <v>1</v>
      </c>
      <c r="E696">
        <v>0.72599999999999998</v>
      </c>
      <c r="F696">
        <v>7.04</v>
      </c>
      <c r="G696">
        <v>1.5760000000000001</v>
      </c>
      <c r="L696">
        <v>0.59</v>
      </c>
      <c r="O696">
        <v>2</v>
      </c>
    </row>
    <row r="697" spans="1:15" x14ac:dyDescent="0.2">
      <c r="A697" t="s">
        <v>36</v>
      </c>
      <c r="B697">
        <v>6</v>
      </c>
      <c r="C697" s="1" t="s">
        <v>43</v>
      </c>
      <c r="D697">
        <v>2</v>
      </c>
      <c r="E697">
        <v>0.99</v>
      </c>
      <c r="F697">
        <v>7.31</v>
      </c>
      <c r="G697">
        <v>1.4039999999999999</v>
      </c>
      <c r="L697">
        <v>0.59</v>
      </c>
      <c r="O697">
        <v>2</v>
      </c>
    </row>
    <row r="698" spans="1:15" x14ac:dyDescent="0.2">
      <c r="A698" t="s">
        <v>36</v>
      </c>
      <c r="B698">
        <v>6</v>
      </c>
      <c r="C698" s="1" t="s">
        <v>43</v>
      </c>
      <c r="D698">
        <v>3</v>
      </c>
      <c r="E698">
        <v>0.46200000000000002</v>
      </c>
      <c r="F698">
        <v>6.21</v>
      </c>
      <c r="G698">
        <v>1.5009999999999999</v>
      </c>
      <c r="L698">
        <v>0.59</v>
      </c>
      <c r="O698">
        <v>2</v>
      </c>
    </row>
    <row r="699" spans="1:15" x14ac:dyDescent="0.2">
      <c r="A699" t="s">
        <v>36</v>
      </c>
      <c r="B699">
        <v>6</v>
      </c>
      <c r="C699" s="1" t="s">
        <v>43</v>
      </c>
      <c r="D699">
        <v>4</v>
      </c>
      <c r="E699">
        <v>0.78400000000000003</v>
      </c>
      <c r="F699">
        <v>7.57</v>
      </c>
      <c r="G699">
        <v>0.95499999999999996</v>
      </c>
      <c r="L699">
        <v>0.59</v>
      </c>
      <c r="O699">
        <v>2</v>
      </c>
    </row>
    <row r="700" spans="1:15" x14ac:dyDescent="0.2">
      <c r="A700" t="s">
        <v>36</v>
      </c>
      <c r="B700">
        <v>6</v>
      </c>
      <c r="C700" s="1" t="s">
        <v>43</v>
      </c>
      <c r="D700">
        <v>5</v>
      </c>
      <c r="E700">
        <v>0.62</v>
      </c>
      <c r="F700">
        <v>10.88</v>
      </c>
      <c r="G700">
        <v>2.4729999999999999</v>
      </c>
      <c r="L700">
        <v>0.59</v>
      </c>
      <c r="O700">
        <v>2</v>
      </c>
    </row>
    <row r="701" spans="1:15" x14ac:dyDescent="0.2">
      <c r="A701" t="s">
        <v>36</v>
      </c>
      <c r="B701">
        <v>6</v>
      </c>
      <c r="C701" s="1" t="s">
        <v>43</v>
      </c>
      <c r="D701">
        <v>6</v>
      </c>
      <c r="E701">
        <v>0.89500000000000002</v>
      </c>
      <c r="F701">
        <v>5.72</v>
      </c>
      <c r="G701">
        <v>2.3199999999999998</v>
      </c>
      <c r="L701">
        <v>0.59</v>
      </c>
      <c r="O701">
        <v>2</v>
      </c>
    </row>
    <row r="702" spans="1:15" x14ac:dyDescent="0.2">
      <c r="A702" t="s">
        <v>36</v>
      </c>
      <c r="B702">
        <v>6</v>
      </c>
      <c r="C702" s="1" t="s">
        <v>43</v>
      </c>
      <c r="D702">
        <v>7</v>
      </c>
      <c r="E702">
        <v>1.6859999999999999</v>
      </c>
      <c r="F702">
        <v>10.220000000000001</v>
      </c>
      <c r="G702">
        <v>2.2970000000000002</v>
      </c>
      <c r="L702">
        <v>0.59</v>
      </c>
      <c r="O702">
        <v>2</v>
      </c>
    </row>
    <row r="703" spans="1:15" x14ac:dyDescent="0.2">
      <c r="A703" t="s">
        <v>36</v>
      </c>
      <c r="B703">
        <v>6</v>
      </c>
      <c r="C703" s="1" t="s">
        <v>43</v>
      </c>
      <c r="D703">
        <v>8</v>
      </c>
      <c r="E703">
        <v>0.96</v>
      </c>
      <c r="F703">
        <v>8.42</v>
      </c>
      <c r="G703">
        <v>1.2250000000000001</v>
      </c>
      <c r="L703">
        <v>0.59</v>
      </c>
      <c r="O703">
        <v>2</v>
      </c>
    </row>
    <row r="704" spans="1:15" x14ac:dyDescent="0.2">
      <c r="A704" t="s">
        <v>36</v>
      </c>
      <c r="B704">
        <v>6</v>
      </c>
      <c r="C704" s="1" t="s">
        <v>43</v>
      </c>
      <c r="D704">
        <v>9</v>
      </c>
      <c r="E704">
        <v>0.97799999999999998</v>
      </c>
      <c r="F704">
        <v>5.08</v>
      </c>
      <c r="G704">
        <v>2.4129999999999998</v>
      </c>
      <c r="L704">
        <v>0.59</v>
      </c>
      <c r="O704">
        <v>2</v>
      </c>
    </row>
    <row r="705" spans="1:15" x14ac:dyDescent="0.2">
      <c r="A705" t="s">
        <v>36</v>
      </c>
      <c r="B705">
        <v>6</v>
      </c>
      <c r="C705" s="1" t="s">
        <v>44</v>
      </c>
      <c r="D705">
        <v>1</v>
      </c>
      <c r="E705">
        <v>3.7669999999999999</v>
      </c>
      <c r="F705">
        <v>9.67</v>
      </c>
      <c r="G705">
        <v>0.89700000000000002</v>
      </c>
      <c r="L705">
        <v>0.59</v>
      </c>
      <c r="O705">
        <v>3</v>
      </c>
    </row>
    <row r="706" spans="1:15" x14ac:dyDescent="0.2">
      <c r="A706" t="s">
        <v>36</v>
      </c>
      <c r="B706">
        <v>6</v>
      </c>
      <c r="C706" s="1" t="s">
        <v>44</v>
      </c>
      <c r="D706">
        <v>2</v>
      </c>
      <c r="E706">
        <v>6.38</v>
      </c>
      <c r="F706">
        <v>9.2799999999999994</v>
      </c>
      <c r="G706">
        <v>0.34799999999999998</v>
      </c>
      <c r="L706">
        <v>0.59</v>
      </c>
      <c r="O706">
        <v>3</v>
      </c>
    </row>
    <row r="707" spans="1:15" x14ac:dyDescent="0.2">
      <c r="A707" t="s">
        <v>36</v>
      </c>
      <c r="B707">
        <v>6</v>
      </c>
      <c r="C707" s="1" t="s">
        <v>44</v>
      </c>
      <c r="D707">
        <v>3</v>
      </c>
      <c r="E707">
        <v>4.1859999999999999</v>
      </c>
      <c r="F707">
        <v>11.11</v>
      </c>
      <c r="G707">
        <v>0.45200000000000001</v>
      </c>
      <c r="L707">
        <v>0.59</v>
      </c>
      <c r="O707">
        <v>3</v>
      </c>
    </row>
    <row r="708" spans="1:15" x14ac:dyDescent="0.2">
      <c r="A708" t="s">
        <v>36</v>
      </c>
      <c r="B708">
        <v>6</v>
      </c>
      <c r="C708" s="1" t="s">
        <v>44</v>
      </c>
      <c r="D708">
        <v>4</v>
      </c>
      <c r="E708">
        <v>4.8819999999999997</v>
      </c>
      <c r="F708">
        <v>12.54</v>
      </c>
      <c r="G708">
        <v>0.40899999999999997</v>
      </c>
      <c r="L708">
        <v>0.59</v>
      </c>
      <c r="O708">
        <v>3</v>
      </c>
    </row>
    <row r="709" spans="1:15" x14ac:dyDescent="0.2">
      <c r="A709" t="s">
        <v>36</v>
      </c>
      <c r="B709">
        <v>6</v>
      </c>
      <c r="C709" s="1" t="s">
        <v>44</v>
      </c>
      <c r="D709">
        <v>5</v>
      </c>
      <c r="E709">
        <v>2.923</v>
      </c>
      <c r="F709">
        <v>12.94</v>
      </c>
      <c r="G709">
        <v>0.372</v>
      </c>
      <c r="L709">
        <v>0.59</v>
      </c>
      <c r="O709">
        <v>3</v>
      </c>
    </row>
    <row r="710" spans="1:15" x14ac:dyDescent="0.2">
      <c r="A710" t="s">
        <v>36</v>
      </c>
      <c r="B710">
        <v>6</v>
      </c>
      <c r="C710" s="1" t="s">
        <v>44</v>
      </c>
      <c r="D710">
        <v>6</v>
      </c>
      <c r="E710">
        <v>3.5950000000000002</v>
      </c>
      <c r="F710">
        <v>18.29</v>
      </c>
      <c r="G710">
        <v>0.50600000000000001</v>
      </c>
      <c r="L710">
        <v>0.59</v>
      </c>
      <c r="O710">
        <v>3</v>
      </c>
    </row>
    <row r="711" spans="1:15" x14ac:dyDescent="0.2">
      <c r="A711" t="s">
        <v>36</v>
      </c>
      <c r="B711">
        <v>6</v>
      </c>
      <c r="C711" s="1" t="s">
        <v>44</v>
      </c>
      <c r="D711">
        <v>7</v>
      </c>
      <c r="E711">
        <v>4.1929999999999996</v>
      </c>
      <c r="F711">
        <v>16.850000000000001</v>
      </c>
      <c r="G711">
        <v>0.27400000000000002</v>
      </c>
      <c r="L711">
        <v>0.59</v>
      </c>
      <c r="O711">
        <v>3</v>
      </c>
    </row>
    <row r="712" spans="1:15" x14ac:dyDescent="0.2">
      <c r="A712" t="s">
        <v>36</v>
      </c>
      <c r="B712">
        <v>6</v>
      </c>
      <c r="C712" s="1" t="s">
        <v>44</v>
      </c>
      <c r="D712">
        <v>8</v>
      </c>
      <c r="E712">
        <v>2.637</v>
      </c>
      <c r="F712">
        <v>13.59</v>
      </c>
      <c r="G712">
        <v>0.41899999999999998</v>
      </c>
      <c r="L712">
        <v>0.59</v>
      </c>
      <c r="O712">
        <v>3</v>
      </c>
    </row>
    <row r="713" spans="1:15" x14ac:dyDescent="0.2">
      <c r="A713" t="s">
        <v>36</v>
      </c>
      <c r="B713">
        <v>6</v>
      </c>
      <c r="C713" s="1" t="s">
        <v>44</v>
      </c>
      <c r="D713">
        <v>9</v>
      </c>
      <c r="E713">
        <v>3.4929999999999999</v>
      </c>
      <c r="F713">
        <v>11.52</v>
      </c>
      <c r="G713">
        <v>0.44400000000000001</v>
      </c>
      <c r="L713">
        <v>0.59</v>
      </c>
      <c r="O713">
        <v>3</v>
      </c>
    </row>
    <row r="714" spans="1:15" x14ac:dyDescent="0.2">
      <c r="A714" t="s">
        <v>36</v>
      </c>
      <c r="B714">
        <v>6</v>
      </c>
      <c r="C714" s="1" t="s">
        <v>45</v>
      </c>
      <c r="D714">
        <v>1</v>
      </c>
      <c r="E714">
        <v>0.80200000000000005</v>
      </c>
      <c r="F714">
        <v>33.200000000000003</v>
      </c>
      <c r="G714">
        <v>1.452</v>
      </c>
      <c r="L714">
        <v>0.59</v>
      </c>
      <c r="O714">
        <v>3</v>
      </c>
    </row>
    <row r="715" spans="1:15" x14ac:dyDescent="0.2">
      <c r="A715" t="s">
        <v>36</v>
      </c>
      <c r="B715">
        <v>6</v>
      </c>
      <c r="C715" s="1" t="s">
        <v>45</v>
      </c>
      <c r="D715">
        <v>2</v>
      </c>
      <c r="E715">
        <v>0.65500000000000003</v>
      </c>
      <c r="F715">
        <v>34.869999999999997</v>
      </c>
      <c r="G715">
        <v>1.9690000000000001</v>
      </c>
      <c r="L715">
        <v>0.59</v>
      </c>
      <c r="O715">
        <v>3</v>
      </c>
    </row>
    <row r="716" spans="1:15" x14ac:dyDescent="0.2">
      <c r="A716" t="s">
        <v>36</v>
      </c>
      <c r="B716">
        <v>6</v>
      </c>
      <c r="C716" s="1" t="s">
        <v>45</v>
      </c>
      <c r="D716">
        <v>3</v>
      </c>
      <c r="E716">
        <v>0.74399999999999999</v>
      </c>
      <c r="F716">
        <v>32.880000000000003</v>
      </c>
      <c r="G716">
        <v>1.2929999999999999</v>
      </c>
      <c r="L716">
        <v>0.59</v>
      </c>
      <c r="O716">
        <v>3</v>
      </c>
    </row>
    <row r="717" spans="1:15" x14ac:dyDescent="0.2">
      <c r="A717" t="s">
        <v>36</v>
      </c>
      <c r="B717">
        <v>6</v>
      </c>
      <c r="C717" s="1" t="s">
        <v>45</v>
      </c>
      <c r="D717">
        <v>4</v>
      </c>
      <c r="E717">
        <v>0.52900000000000003</v>
      </c>
      <c r="F717">
        <v>38.1</v>
      </c>
      <c r="G717">
        <v>1.1439999999999999</v>
      </c>
      <c r="L717">
        <v>0.59</v>
      </c>
      <c r="O717">
        <v>3</v>
      </c>
    </row>
    <row r="718" spans="1:15" x14ac:dyDescent="0.2">
      <c r="A718" t="s">
        <v>36</v>
      </c>
      <c r="B718">
        <v>6</v>
      </c>
      <c r="C718" s="1" t="s">
        <v>45</v>
      </c>
      <c r="D718">
        <v>5</v>
      </c>
      <c r="E718">
        <v>0.79200000000000004</v>
      </c>
      <c r="F718">
        <v>26.28</v>
      </c>
      <c r="G718">
        <v>1.4219999999999999</v>
      </c>
      <c r="L718">
        <v>0.59</v>
      </c>
      <c r="O718">
        <v>3</v>
      </c>
    </row>
    <row r="719" spans="1:15" x14ac:dyDescent="0.2">
      <c r="A719" t="s">
        <v>36</v>
      </c>
      <c r="B719">
        <v>6</v>
      </c>
      <c r="C719" s="1" t="s">
        <v>45</v>
      </c>
      <c r="D719">
        <v>6</v>
      </c>
      <c r="E719">
        <v>0.90800000000000003</v>
      </c>
      <c r="F719">
        <v>27.9</v>
      </c>
      <c r="G719">
        <v>1.3220000000000001</v>
      </c>
      <c r="L719">
        <v>0.59</v>
      </c>
      <c r="O719">
        <v>3</v>
      </c>
    </row>
    <row r="720" spans="1:15" x14ac:dyDescent="0.2">
      <c r="A720" t="s">
        <v>36</v>
      </c>
      <c r="B720">
        <v>6</v>
      </c>
      <c r="C720" s="1" t="s">
        <v>45</v>
      </c>
      <c r="D720">
        <v>7</v>
      </c>
      <c r="E720">
        <v>0.48699999999999999</v>
      </c>
      <c r="F720">
        <v>24.73</v>
      </c>
      <c r="G720">
        <v>0.96899999999999997</v>
      </c>
      <c r="L720">
        <v>0.59</v>
      </c>
      <c r="O720">
        <v>3</v>
      </c>
    </row>
    <row r="721" spans="1:15" x14ac:dyDescent="0.2">
      <c r="A721" t="s">
        <v>36</v>
      </c>
      <c r="B721">
        <v>6</v>
      </c>
      <c r="C721" s="1" t="s">
        <v>45</v>
      </c>
      <c r="D721">
        <v>8</v>
      </c>
      <c r="E721">
        <v>0.79700000000000004</v>
      </c>
      <c r="F721">
        <v>46.21</v>
      </c>
      <c r="G721">
        <v>1.2010000000000001</v>
      </c>
      <c r="L721">
        <v>0.59</v>
      </c>
      <c r="O721">
        <v>3</v>
      </c>
    </row>
    <row r="722" spans="1:15" x14ac:dyDescent="0.2">
      <c r="A722" t="s">
        <v>36</v>
      </c>
      <c r="B722">
        <v>6</v>
      </c>
      <c r="C722" s="1" t="s">
        <v>45</v>
      </c>
      <c r="D722">
        <v>9</v>
      </c>
      <c r="E722">
        <v>0.86499999999999999</v>
      </c>
      <c r="F722">
        <v>25.7</v>
      </c>
      <c r="G722">
        <v>1.133</v>
      </c>
      <c r="L722">
        <v>0.59</v>
      </c>
      <c r="O722">
        <v>3</v>
      </c>
    </row>
    <row r="723" spans="1:15" x14ac:dyDescent="0.2">
      <c r="A723" t="s">
        <v>36</v>
      </c>
      <c r="B723">
        <v>6</v>
      </c>
      <c r="C723" s="1" t="s">
        <v>46</v>
      </c>
      <c r="D723">
        <v>1</v>
      </c>
      <c r="E723">
        <v>0.45400000000000001</v>
      </c>
      <c r="F723">
        <v>53.83</v>
      </c>
      <c r="G723">
        <v>0.23799999999999999</v>
      </c>
      <c r="L723">
        <v>0.59</v>
      </c>
      <c r="O723">
        <v>2</v>
      </c>
    </row>
    <row r="724" spans="1:15" x14ac:dyDescent="0.2">
      <c r="A724" t="s">
        <v>36</v>
      </c>
      <c r="B724">
        <v>6</v>
      </c>
      <c r="C724" s="1" t="s">
        <v>46</v>
      </c>
      <c r="D724">
        <v>2</v>
      </c>
      <c r="E724">
        <v>0.375</v>
      </c>
      <c r="F724">
        <v>64.38</v>
      </c>
      <c r="G724">
        <v>0.33900000000000002</v>
      </c>
      <c r="L724">
        <v>0.59</v>
      </c>
      <c r="O724">
        <v>2</v>
      </c>
    </row>
    <row r="725" spans="1:15" x14ac:dyDescent="0.2">
      <c r="A725" t="s">
        <v>36</v>
      </c>
      <c r="B725">
        <v>6</v>
      </c>
      <c r="C725" s="1" t="s">
        <v>46</v>
      </c>
      <c r="D725">
        <v>3</v>
      </c>
      <c r="E725">
        <v>0.38800000000000001</v>
      </c>
      <c r="F725">
        <v>67.58</v>
      </c>
      <c r="G725">
        <v>0.29599999999999999</v>
      </c>
      <c r="L725">
        <v>0.59</v>
      </c>
      <c r="O725">
        <v>2</v>
      </c>
    </row>
    <row r="726" spans="1:15" x14ac:dyDescent="0.2">
      <c r="A726" t="s">
        <v>36</v>
      </c>
      <c r="B726">
        <v>6</v>
      </c>
      <c r="C726" s="1" t="s">
        <v>46</v>
      </c>
      <c r="D726">
        <v>4</v>
      </c>
      <c r="E726">
        <v>0.61499999999999999</v>
      </c>
      <c r="F726">
        <v>67.459999999999994</v>
      </c>
      <c r="G726">
        <v>0.316</v>
      </c>
      <c r="L726">
        <v>0.59</v>
      </c>
      <c r="O726">
        <v>2</v>
      </c>
    </row>
    <row r="727" spans="1:15" x14ac:dyDescent="0.2">
      <c r="A727" t="s">
        <v>36</v>
      </c>
      <c r="B727">
        <v>6</v>
      </c>
      <c r="C727" s="1" t="s">
        <v>46</v>
      </c>
      <c r="D727">
        <v>5</v>
      </c>
      <c r="E727">
        <v>0.42299999999999999</v>
      </c>
      <c r="F727">
        <v>50.18</v>
      </c>
      <c r="G727">
        <v>0.373</v>
      </c>
      <c r="L727">
        <v>0.59</v>
      </c>
      <c r="O727">
        <v>2</v>
      </c>
    </row>
    <row r="728" spans="1:15" x14ac:dyDescent="0.2">
      <c r="A728" t="s">
        <v>36</v>
      </c>
      <c r="B728">
        <v>6</v>
      </c>
      <c r="C728" s="1" t="s">
        <v>46</v>
      </c>
      <c r="D728">
        <v>6</v>
      </c>
      <c r="E728">
        <v>0.39400000000000002</v>
      </c>
      <c r="F728">
        <v>44.53</v>
      </c>
      <c r="G728">
        <v>0.19</v>
      </c>
      <c r="L728">
        <v>0.59</v>
      </c>
      <c r="O728">
        <v>2</v>
      </c>
    </row>
    <row r="729" spans="1:15" x14ac:dyDescent="0.2">
      <c r="A729" t="s">
        <v>36</v>
      </c>
      <c r="B729">
        <v>6</v>
      </c>
      <c r="C729" s="1" t="s">
        <v>46</v>
      </c>
      <c r="D729">
        <v>7</v>
      </c>
      <c r="E729">
        <v>0.38100000000000001</v>
      </c>
      <c r="F729">
        <v>65.94</v>
      </c>
      <c r="G729">
        <v>0.23200000000000001</v>
      </c>
      <c r="L729">
        <v>0.59</v>
      </c>
      <c r="O729">
        <v>2</v>
      </c>
    </row>
    <row r="730" spans="1:15" x14ac:dyDescent="0.2">
      <c r="A730" t="s">
        <v>36</v>
      </c>
      <c r="B730">
        <v>6</v>
      </c>
      <c r="C730" s="1" t="s">
        <v>46</v>
      </c>
      <c r="D730">
        <v>8</v>
      </c>
      <c r="E730">
        <v>0.39700000000000002</v>
      </c>
      <c r="F730">
        <v>50.44</v>
      </c>
      <c r="G730">
        <v>0.26500000000000001</v>
      </c>
      <c r="L730">
        <v>0.59</v>
      </c>
      <c r="O730">
        <v>2</v>
      </c>
    </row>
    <row r="731" spans="1:15" x14ac:dyDescent="0.2">
      <c r="A731" t="s">
        <v>36</v>
      </c>
      <c r="B731">
        <v>6</v>
      </c>
      <c r="C731" s="1" t="s">
        <v>46</v>
      </c>
      <c r="D731">
        <v>9</v>
      </c>
      <c r="E731">
        <v>0.436</v>
      </c>
      <c r="F731">
        <v>53.74</v>
      </c>
      <c r="G731">
        <v>0.246</v>
      </c>
      <c r="L731">
        <v>0.59</v>
      </c>
      <c r="O731">
        <v>2</v>
      </c>
    </row>
    <row r="732" spans="1:15" x14ac:dyDescent="0.2">
      <c r="A732" t="s">
        <v>36</v>
      </c>
      <c r="B732">
        <v>6</v>
      </c>
      <c r="C732" s="1" t="s">
        <v>47</v>
      </c>
      <c r="D732">
        <v>1</v>
      </c>
      <c r="E732">
        <v>0.36099999999999999</v>
      </c>
      <c r="F732">
        <v>15.66</v>
      </c>
      <c r="G732">
        <v>2.093</v>
      </c>
      <c r="L732">
        <v>0.59</v>
      </c>
      <c r="O732">
        <v>1</v>
      </c>
    </row>
    <row r="733" spans="1:15" x14ac:dyDescent="0.2">
      <c r="A733" t="s">
        <v>36</v>
      </c>
      <c r="B733">
        <v>6</v>
      </c>
      <c r="C733" s="1" t="s">
        <v>47</v>
      </c>
      <c r="D733">
        <v>2</v>
      </c>
      <c r="E733">
        <v>0.28799999999999998</v>
      </c>
      <c r="F733">
        <v>12.01</v>
      </c>
      <c r="G733">
        <v>2.33</v>
      </c>
      <c r="L733">
        <v>0.59</v>
      </c>
      <c r="O733">
        <v>1</v>
      </c>
    </row>
    <row r="734" spans="1:15" x14ac:dyDescent="0.2">
      <c r="A734" t="s">
        <v>36</v>
      </c>
      <c r="B734">
        <v>6</v>
      </c>
      <c r="C734" s="1" t="s">
        <v>47</v>
      </c>
      <c r="D734">
        <v>3</v>
      </c>
      <c r="E734">
        <v>0.39400000000000002</v>
      </c>
      <c r="F734">
        <v>15.04</v>
      </c>
      <c r="G734">
        <v>1.575</v>
      </c>
      <c r="L734">
        <v>0.59</v>
      </c>
      <c r="O734">
        <v>1</v>
      </c>
    </row>
    <row r="735" spans="1:15" x14ac:dyDescent="0.2">
      <c r="A735" t="s">
        <v>36</v>
      </c>
      <c r="B735">
        <v>6</v>
      </c>
      <c r="C735" s="1" t="s">
        <v>47</v>
      </c>
      <c r="D735">
        <v>4</v>
      </c>
      <c r="E735">
        <v>0.33800000000000002</v>
      </c>
      <c r="F735">
        <v>11</v>
      </c>
      <c r="G735">
        <v>2.3969999999999998</v>
      </c>
      <c r="L735">
        <v>0.59</v>
      </c>
      <c r="O735">
        <v>1</v>
      </c>
    </row>
    <row r="736" spans="1:15" x14ac:dyDescent="0.2">
      <c r="A736" t="s">
        <v>36</v>
      </c>
      <c r="B736">
        <v>6</v>
      </c>
      <c r="C736" s="1" t="s">
        <v>47</v>
      </c>
      <c r="D736">
        <v>5</v>
      </c>
      <c r="E736">
        <v>0.34699999999999998</v>
      </c>
      <c r="F736">
        <v>24.07</v>
      </c>
      <c r="G736">
        <v>1.887</v>
      </c>
      <c r="L736">
        <v>0.59</v>
      </c>
      <c r="O736">
        <v>1</v>
      </c>
    </row>
    <row r="737" spans="1:15" x14ac:dyDescent="0.2">
      <c r="A737" t="s">
        <v>36</v>
      </c>
      <c r="B737">
        <v>6</v>
      </c>
      <c r="C737" s="1" t="s">
        <v>47</v>
      </c>
      <c r="D737">
        <v>6</v>
      </c>
      <c r="E737">
        <v>0.39800000000000002</v>
      </c>
      <c r="F737">
        <v>16.32</v>
      </c>
      <c r="G737">
        <v>1.677</v>
      </c>
      <c r="L737">
        <v>0.59</v>
      </c>
      <c r="O737">
        <v>1</v>
      </c>
    </row>
    <row r="738" spans="1:15" x14ac:dyDescent="0.2">
      <c r="A738" t="s">
        <v>36</v>
      </c>
      <c r="B738">
        <v>6</v>
      </c>
      <c r="C738" s="1" t="s">
        <v>47</v>
      </c>
      <c r="D738">
        <v>7</v>
      </c>
      <c r="E738">
        <v>0.374</v>
      </c>
      <c r="F738">
        <v>17.91</v>
      </c>
      <c r="G738">
        <v>1.377</v>
      </c>
      <c r="L738">
        <v>0.59</v>
      </c>
      <c r="O738">
        <v>1</v>
      </c>
    </row>
    <row r="739" spans="1:15" x14ac:dyDescent="0.2">
      <c r="A739" t="s">
        <v>36</v>
      </c>
      <c r="B739">
        <v>6</v>
      </c>
      <c r="C739" s="1" t="s">
        <v>47</v>
      </c>
      <c r="D739">
        <v>8</v>
      </c>
      <c r="E739">
        <v>0.32700000000000001</v>
      </c>
      <c r="F739">
        <v>14.7</v>
      </c>
      <c r="G739">
        <v>2.3809999999999998</v>
      </c>
      <c r="L739">
        <v>0.59</v>
      </c>
      <c r="O739">
        <v>1</v>
      </c>
    </row>
    <row r="740" spans="1:15" x14ac:dyDescent="0.2">
      <c r="A740" t="s">
        <v>36</v>
      </c>
      <c r="B740">
        <v>6</v>
      </c>
      <c r="C740" s="1" t="s">
        <v>47</v>
      </c>
      <c r="D740">
        <v>9</v>
      </c>
      <c r="E740">
        <v>0.33700000000000002</v>
      </c>
      <c r="F740">
        <v>13.16</v>
      </c>
      <c r="G740">
        <v>1.593</v>
      </c>
      <c r="L740">
        <v>0.59</v>
      </c>
      <c r="O740">
        <v>1</v>
      </c>
    </row>
    <row r="741" spans="1:15" x14ac:dyDescent="0.2">
      <c r="A741" t="s">
        <v>36</v>
      </c>
      <c r="B741">
        <v>6</v>
      </c>
      <c r="C741" s="1" t="s">
        <v>48</v>
      </c>
      <c r="D741">
        <v>1</v>
      </c>
      <c r="E741">
        <v>0.63300000000000001</v>
      </c>
      <c r="F741">
        <v>12.73</v>
      </c>
      <c r="G741">
        <v>0.38600000000000001</v>
      </c>
      <c r="L741">
        <v>0.59</v>
      </c>
      <c r="O741">
        <v>1</v>
      </c>
    </row>
    <row r="742" spans="1:15" x14ac:dyDescent="0.2">
      <c r="A742" t="s">
        <v>36</v>
      </c>
      <c r="B742">
        <v>6</v>
      </c>
      <c r="C742" s="1" t="s">
        <v>48</v>
      </c>
      <c r="D742">
        <v>2</v>
      </c>
      <c r="E742">
        <v>1.2410000000000001</v>
      </c>
      <c r="F742">
        <v>11.56</v>
      </c>
      <c r="G742">
        <v>0.251</v>
      </c>
      <c r="L742">
        <v>0.59</v>
      </c>
      <c r="O742">
        <v>1</v>
      </c>
    </row>
    <row r="743" spans="1:15" x14ac:dyDescent="0.2">
      <c r="A743" t="s">
        <v>36</v>
      </c>
      <c r="B743">
        <v>6</v>
      </c>
      <c r="C743" s="1" t="s">
        <v>48</v>
      </c>
      <c r="D743">
        <v>3</v>
      </c>
      <c r="E743">
        <v>0.86899999999999999</v>
      </c>
      <c r="F743">
        <v>13.81</v>
      </c>
      <c r="G743">
        <v>0.51</v>
      </c>
      <c r="L743">
        <v>0.59</v>
      </c>
      <c r="O743">
        <v>1</v>
      </c>
    </row>
    <row r="744" spans="1:15" x14ac:dyDescent="0.2">
      <c r="A744" t="s">
        <v>36</v>
      </c>
      <c r="B744">
        <v>6</v>
      </c>
      <c r="C744" s="1" t="s">
        <v>48</v>
      </c>
      <c r="D744">
        <v>4</v>
      </c>
      <c r="E744">
        <v>0.78600000000000003</v>
      </c>
      <c r="F744">
        <v>10.93</v>
      </c>
      <c r="G744">
        <v>0.34</v>
      </c>
      <c r="L744">
        <v>0.59</v>
      </c>
      <c r="O744">
        <v>1</v>
      </c>
    </row>
    <row r="745" spans="1:15" x14ac:dyDescent="0.2">
      <c r="A745" t="s">
        <v>36</v>
      </c>
      <c r="B745">
        <v>6</v>
      </c>
      <c r="C745" s="1" t="s">
        <v>48</v>
      </c>
      <c r="D745">
        <v>5</v>
      </c>
      <c r="E745">
        <v>0.53400000000000003</v>
      </c>
      <c r="F745">
        <v>16.09</v>
      </c>
      <c r="G745">
        <v>0.311</v>
      </c>
      <c r="L745">
        <v>0.59</v>
      </c>
      <c r="O745">
        <v>1</v>
      </c>
    </row>
    <row r="746" spans="1:15" x14ac:dyDescent="0.2">
      <c r="A746" t="s">
        <v>36</v>
      </c>
      <c r="B746">
        <v>6</v>
      </c>
      <c r="C746" s="1" t="s">
        <v>48</v>
      </c>
      <c r="D746">
        <v>6</v>
      </c>
      <c r="E746">
        <v>1.0660000000000001</v>
      </c>
      <c r="F746">
        <v>13.17</v>
      </c>
      <c r="G746">
        <v>0.58199999999999996</v>
      </c>
      <c r="L746">
        <v>0.59</v>
      </c>
      <c r="O746">
        <v>1</v>
      </c>
    </row>
    <row r="747" spans="1:15" x14ac:dyDescent="0.2">
      <c r="A747" t="s">
        <v>36</v>
      </c>
      <c r="B747">
        <v>6</v>
      </c>
      <c r="C747" s="1" t="s">
        <v>48</v>
      </c>
      <c r="D747">
        <v>7</v>
      </c>
      <c r="E747">
        <v>0.66500000000000004</v>
      </c>
      <c r="F747">
        <v>11.16</v>
      </c>
      <c r="G747">
        <v>0.32900000000000001</v>
      </c>
      <c r="L747">
        <v>0.59</v>
      </c>
      <c r="O747">
        <v>1</v>
      </c>
    </row>
    <row r="748" spans="1:15" x14ac:dyDescent="0.2">
      <c r="A748" t="s">
        <v>36</v>
      </c>
      <c r="B748">
        <v>6</v>
      </c>
      <c r="C748" s="1" t="s">
        <v>48</v>
      </c>
      <c r="D748">
        <v>8</v>
      </c>
      <c r="E748">
        <v>0.69499999999999995</v>
      </c>
      <c r="F748">
        <v>8.58</v>
      </c>
      <c r="G748">
        <v>0.77900000000000003</v>
      </c>
      <c r="L748">
        <v>0.59</v>
      </c>
      <c r="O748">
        <v>1</v>
      </c>
    </row>
    <row r="749" spans="1:15" x14ac:dyDescent="0.2">
      <c r="A749" t="s">
        <v>36</v>
      </c>
      <c r="B749">
        <v>6</v>
      </c>
      <c r="C749" s="1" t="s">
        <v>48</v>
      </c>
      <c r="D749">
        <v>9</v>
      </c>
      <c r="E749">
        <v>0.91300000000000003</v>
      </c>
      <c r="F749">
        <v>14.24</v>
      </c>
      <c r="G749">
        <v>0.17799999999999999</v>
      </c>
      <c r="L749">
        <v>0.59</v>
      </c>
      <c r="O749">
        <v>1</v>
      </c>
    </row>
    <row r="750" spans="1:15" x14ac:dyDescent="0.2">
      <c r="A750" t="s">
        <v>36</v>
      </c>
      <c r="B750">
        <v>6</v>
      </c>
      <c r="C750" s="1" t="s">
        <v>49</v>
      </c>
      <c r="D750">
        <v>1</v>
      </c>
      <c r="E750">
        <v>0.36099999999999999</v>
      </c>
      <c r="F750">
        <v>57.02</v>
      </c>
      <c r="G750">
        <v>0.216</v>
      </c>
      <c r="L750">
        <v>0.59</v>
      </c>
      <c r="O750">
        <v>1</v>
      </c>
    </row>
    <row r="751" spans="1:15" x14ac:dyDescent="0.2">
      <c r="A751" t="s">
        <v>36</v>
      </c>
      <c r="B751">
        <v>6</v>
      </c>
      <c r="C751" s="1" t="s">
        <v>49</v>
      </c>
      <c r="D751">
        <v>2</v>
      </c>
      <c r="E751">
        <v>0.46899999999999997</v>
      </c>
      <c r="F751">
        <v>48.43</v>
      </c>
      <c r="G751">
        <v>0.184</v>
      </c>
      <c r="L751">
        <v>0.59</v>
      </c>
      <c r="O751">
        <v>1</v>
      </c>
    </row>
    <row r="752" spans="1:15" x14ac:dyDescent="0.2">
      <c r="A752" t="s">
        <v>36</v>
      </c>
      <c r="B752">
        <v>6</v>
      </c>
      <c r="C752" s="1" t="s">
        <v>49</v>
      </c>
      <c r="D752">
        <v>3</v>
      </c>
      <c r="E752">
        <v>0.36699999999999999</v>
      </c>
      <c r="F752">
        <v>42.25</v>
      </c>
      <c r="G752">
        <v>0.28899999999999998</v>
      </c>
      <c r="L752">
        <v>0.59</v>
      </c>
      <c r="O752">
        <v>1</v>
      </c>
    </row>
    <row r="753" spans="1:15" x14ac:dyDescent="0.2">
      <c r="A753" t="s">
        <v>36</v>
      </c>
      <c r="B753">
        <v>6</v>
      </c>
      <c r="C753" s="1" t="s">
        <v>49</v>
      </c>
      <c r="D753">
        <v>4</v>
      </c>
      <c r="E753">
        <v>0.44900000000000001</v>
      </c>
      <c r="F753">
        <v>50.03</v>
      </c>
      <c r="G753">
        <v>0.39100000000000001</v>
      </c>
      <c r="L753">
        <v>0.59</v>
      </c>
      <c r="O753">
        <v>1</v>
      </c>
    </row>
    <row r="754" spans="1:15" x14ac:dyDescent="0.2">
      <c r="A754" t="s">
        <v>36</v>
      </c>
      <c r="B754">
        <v>6</v>
      </c>
      <c r="C754" s="1" t="s">
        <v>49</v>
      </c>
      <c r="D754">
        <v>5</v>
      </c>
      <c r="E754">
        <v>0.435</v>
      </c>
      <c r="F754">
        <v>42.56</v>
      </c>
      <c r="G754">
        <v>0.378</v>
      </c>
      <c r="L754">
        <v>0.59</v>
      </c>
      <c r="O754">
        <v>1</v>
      </c>
    </row>
    <row r="755" spans="1:15" x14ac:dyDescent="0.2">
      <c r="A755" t="s">
        <v>36</v>
      </c>
      <c r="B755">
        <v>6</v>
      </c>
      <c r="C755" s="1" t="s">
        <v>49</v>
      </c>
      <c r="D755">
        <v>6</v>
      </c>
      <c r="E755">
        <v>0.41399999999999998</v>
      </c>
      <c r="F755">
        <v>85.83</v>
      </c>
      <c r="G755">
        <v>0.248</v>
      </c>
      <c r="L755">
        <v>0.59</v>
      </c>
      <c r="O755">
        <v>1</v>
      </c>
    </row>
    <row r="756" spans="1:15" x14ac:dyDescent="0.2">
      <c r="A756" t="s">
        <v>36</v>
      </c>
      <c r="B756">
        <v>6</v>
      </c>
      <c r="C756" s="1" t="s">
        <v>49</v>
      </c>
      <c r="D756">
        <v>7</v>
      </c>
      <c r="E756">
        <v>0.39500000000000002</v>
      </c>
      <c r="F756">
        <v>96.98</v>
      </c>
      <c r="G756">
        <v>0.27</v>
      </c>
      <c r="L756">
        <v>0.59</v>
      </c>
      <c r="O756">
        <v>1</v>
      </c>
    </row>
    <row r="757" spans="1:15" x14ac:dyDescent="0.2">
      <c r="A757" t="s">
        <v>36</v>
      </c>
      <c r="B757">
        <v>6</v>
      </c>
      <c r="C757" s="1" t="s">
        <v>49</v>
      </c>
      <c r="D757">
        <v>8</v>
      </c>
      <c r="E757">
        <v>0.503</v>
      </c>
      <c r="F757">
        <v>64.599999999999994</v>
      </c>
      <c r="G757">
        <v>0.23200000000000001</v>
      </c>
      <c r="L757">
        <v>0.59</v>
      </c>
      <c r="O757">
        <v>1</v>
      </c>
    </row>
    <row r="758" spans="1:15" x14ac:dyDescent="0.2">
      <c r="A758" t="s">
        <v>36</v>
      </c>
      <c r="B758">
        <v>6</v>
      </c>
      <c r="C758" s="1" t="s">
        <v>49</v>
      </c>
      <c r="D758">
        <v>9</v>
      </c>
      <c r="E758">
        <v>0.44700000000000001</v>
      </c>
      <c r="F758">
        <v>47.24</v>
      </c>
      <c r="G758">
        <v>0.308</v>
      </c>
      <c r="L758">
        <v>0.59</v>
      </c>
      <c r="O758">
        <v>1</v>
      </c>
    </row>
    <row r="759" spans="1:15" x14ac:dyDescent="0.2">
      <c r="A759" t="s">
        <v>36</v>
      </c>
      <c r="B759">
        <v>6</v>
      </c>
      <c r="C759" s="1" t="s">
        <v>50</v>
      </c>
      <c r="D759">
        <v>1</v>
      </c>
      <c r="E759">
        <v>0.14000000000000001</v>
      </c>
      <c r="F759">
        <v>6.98</v>
      </c>
      <c r="G759">
        <v>1E-3</v>
      </c>
      <c r="L759">
        <v>0.59</v>
      </c>
      <c r="O759">
        <v>20</v>
      </c>
    </row>
    <row r="760" spans="1:15" x14ac:dyDescent="0.2">
      <c r="A760" t="s">
        <v>36</v>
      </c>
      <c r="B760">
        <v>6</v>
      </c>
      <c r="C760" s="1" t="s">
        <v>50</v>
      </c>
      <c r="D760">
        <v>2</v>
      </c>
      <c r="E760">
        <v>0.157</v>
      </c>
      <c r="F760">
        <v>6.58</v>
      </c>
      <c r="G760">
        <v>1E-3</v>
      </c>
      <c r="L760">
        <v>0.59</v>
      </c>
      <c r="O760">
        <v>20</v>
      </c>
    </row>
    <row r="761" spans="1:15" x14ac:dyDescent="0.2">
      <c r="A761" t="s">
        <v>36</v>
      </c>
      <c r="B761">
        <v>6</v>
      </c>
      <c r="C761" s="1" t="s">
        <v>50</v>
      </c>
      <c r="D761">
        <v>3</v>
      </c>
      <c r="E761">
        <v>0.12</v>
      </c>
      <c r="F761">
        <v>6.95</v>
      </c>
      <c r="G761">
        <v>1E-3</v>
      </c>
      <c r="L761">
        <v>0.59</v>
      </c>
      <c r="O761">
        <v>20</v>
      </c>
    </row>
    <row r="762" spans="1:15" x14ac:dyDescent="0.2">
      <c r="A762" t="s">
        <v>36</v>
      </c>
      <c r="B762">
        <v>6</v>
      </c>
      <c r="C762" s="1" t="s">
        <v>50</v>
      </c>
      <c r="D762">
        <v>4</v>
      </c>
      <c r="E762">
        <v>0.159</v>
      </c>
      <c r="F762">
        <v>6.31</v>
      </c>
      <c r="G762">
        <v>1E-3</v>
      </c>
      <c r="L762">
        <v>0.59</v>
      </c>
      <c r="O762">
        <v>20</v>
      </c>
    </row>
    <row r="763" spans="1:15" x14ac:dyDescent="0.2">
      <c r="A763" t="s">
        <v>36</v>
      </c>
      <c r="B763">
        <v>6</v>
      </c>
      <c r="C763" s="1" t="s">
        <v>50</v>
      </c>
      <c r="D763">
        <v>5</v>
      </c>
      <c r="E763">
        <v>0.155</v>
      </c>
      <c r="F763">
        <v>7.01</v>
      </c>
      <c r="G763">
        <v>2E-3</v>
      </c>
      <c r="L763">
        <v>0.59</v>
      </c>
      <c r="O763">
        <v>20</v>
      </c>
    </row>
    <row r="764" spans="1:15" x14ac:dyDescent="0.2">
      <c r="A764" t="s">
        <v>36</v>
      </c>
      <c r="B764">
        <v>6</v>
      </c>
      <c r="C764" s="1" t="s">
        <v>50</v>
      </c>
      <c r="D764">
        <v>6</v>
      </c>
      <c r="E764">
        <v>0.16200000000000001</v>
      </c>
      <c r="F764">
        <v>6.58</v>
      </c>
      <c r="G764">
        <v>2E-3</v>
      </c>
      <c r="L764">
        <v>0.59</v>
      </c>
      <c r="O764">
        <v>20</v>
      </c>
    </row>
    <row r="765" spans="1:15" x14ac:dyDescent="0.2">
      <c r="A765" t="s">
        <v>36</v>
      </c>
      <c r="B765">
        <v>6</v>
      </c>
      <c r="C765" s="1" t="s">
        <v>50</v>
      </c>
      <c r="D765">
        <v>7</v>
      </c>
      <c r="E765">
        <v>0.17599999999999999</v>
      </c>
      <c r="F765">
        <v>7.18</v>
      </c>
      <c r="G765">
        <v>1E-3</v>
      </c>
      <c r="L765">
        <v>0.59</v>
      </c>
      <c r="O765">
        <v>20</v>
      </c>
    </row>
    <row r="766" spans="1:15" x14ac:dyDescent="0.2">
      <c r="A766" t="s">
        <v>36</v>
      </c>
      <c r="B766">
        <v>6</v>
      </c>
      <c r="C766" s="1" t="s">
        <v>50</v>
      </c>
      <c r="D766">
        <v>8</v>
      </c>
      <c r="E766">
        <v>0.20599999999999999</v>
      </c>
      <c r="F766">
        <v>6.59</v>
      </c>
      <c r="G766">
        <v>1E-3</v>
      </c>
      <c r="L766">
        <v>0.59</v>
      </c>
      <c r="O766">
        <v>20</v>
      </c>
    </row>
    <row r="767" spans="1:15" x14ac:dyDescent="0.2">
      <c r="A767" t="s">
        <v>36</v>
      </c>
      <c r="B767">
        <v>6</v>
      </c>
      <c r="C767" s="1" t="s">
        <v>50</v>
      </c>
      <c r="D767">
        <v>9</v>
      </c>
      <c r="E767">
        <v>0.14299999999999999</v>
      </c>
      <c r="F767">
        <v>6.72</v>
      </c>
      <c r="G767">
        <v>1E-3</v>
      </c>
      <c r="L767">
        <v>0.59</v>
      </c>
      <c r="O767">
        <v>20</v>
      </c>
    </row>
    <row r="768" spans="1:15" x14ac:dyDescent="0.2">
      <c r="A768" t="s">
        <v>36</v>
      </c>
      <c r="B768">
        <v>7</v>
      </c>
      <c r="C768" s="1" t="s">
        <v>13</v>
      </c>
      <c r="D768">
        <v>1</v>
      </c>
      <c r="E768">
        <v>1.8620000000000001</v>
      </c>
      <c r="F768">
        <v>12.33</v>
      </c>
      <c r="G768">
        <v>0.19700000000000001</v>
      </c>
      <c r="L768">
        <v>0.3</v>
      </c>
      <c r="O768">
        <v>19</v>
      </c>
    </row>
    <row r="769" spans="1:15" x14ac:dyDescent="0.2">
      <c r="A769" t="s">
        <v>36</v>
      </c>
      <c r="B769">
        <v>7</v>
      </c>
      <c r="C769" s="1" t="s">
        <v>13</v>
      </c>
      <c r="D769">
        <v>2</v>
      </c>
      <c r="E769">
        <v>2.7050000000000001</v>
      </c>
      <c r="F769">
        <v>15.89</v>
      </c>
      <c r="G769">
        <v>0.23400000000000001</v>
      </c>
      <c r="L769">
        <v>0.3</v>
      </c>
      <c r="O769">
        <v>19</v>
      </c>
    </row>
    <row r="770" spans="1:15" x14ac:dyDescent="0.2">
      <c r="A770" t="s">
        <v>36</v>
      </c>
      <c r="B770">
        <v>7</v>
      </c>
      <c r="C770" s="1" t="s">
        <v>13</v>
      </c>
      <c r="D770">
        <v>3</v>
      </c>
      <c r="E770">
        <v>2.69</v>
      </c>
      <c r="F770">
        <v>14.21</v>
      </c>
      <c r="G770">
        <v>0.20100000000000001</v>
      </c>
      <c r="L770">
        <v>0.3</v>
      </c>
      <c r="O770">
        <v>19</v>
      </c>
    </row>
    <row r="771" spans="1:15" x14ac:dyDescent="0.2">
      <c r="A771" t="s">
        <v>36</v>
      </c>
      <c r="B771">
        <v>7</v>
      </c>
      <c r="C771" s="1" t="s">
        <v>13</v>
      </c>
      <c r="D771">
        <v>4</v>
      </c>
      <c r="E771">
        <v>2.4940000000000002</v>
      </c>
      <c r="F771">
        <v>7.2</v>
      </c>
      <c r="G771">
        <v>0.217</v>
      </c>
      <c r="L771">
        <v>0.3</v>
      </c>
      <c r="O771">
        <v>19</v>
      </c>
    </row>
    <row r="772" spans="1:15" x14ac:dyDescent="0.2">
      <c r="A772" t="s">
        <v>36</v>
      </c>
      <c r="B772">
        <v>7</v>
      </c>
      <c r="C772" s="1" t="s">
        <v>13</v>
      </c>
      <c r="D772">
        <v>5</v>
      </c>
      <c r="E772">
        <v>2.0329999999999999</v>
      </c>
      <c r="F772">
        <v>12.74</v>
      </c>
      <c r="G772">
        <v>0.157</v>
      </c>
      <c r="L772">
        <v>0.3</v>
      </c>
      <c r="O772">
        <v>19</v>
      </c>
    </row>
    <row r="773" spans="1:15" x14ac:dyDescent="0.2">
      <c r="A773" t="s">
        <v>36</v>
      </c>
      <c r="B773">
        <v>7</v>
      </c>
      <c r="C773" s="1" t="s">
        <v>13</v>
      </c>
      <c r="D773">
        <v>6</v>
      </c>
      <c r="E773">
        <v>3.5539999999999998</v>
      </c>
      <c r="F773">
        <v>11.74</v>
      </c>
      <c r="G773">
        <v>0.16800000000000001</v>
      </c>
      <c r="L773">
        <v>0.3</v>
      </c>
      <c r="O773">
        <v>19</v>
      </c>
    </row>
    <row r="774" spans="1:15" x14ac:dyDescent="0.2">
      <c r="A774" t="s">
        <v>36</v>
      </c>
      <c r="B774">
        <v>7</v>
      </c>
      <c r="C774" s="1" t="s">
        <v>13</v>
      </c>
      <c r="D774">
        <v>7</v>
      </c>
      <c r="E774">
        <v>2.5249999999999999</v>
      </c>
      <c r="F774">
        <v>14.23</v>
      </c>
      <c r="G774">
        <v>0.2</v>
      </c>
      <c r="L774">
        <v>0.3</v>
      </c>
      <c r="O774">
        <v>19</v>
      </c>
    </row>
    <row r="775" spans="1:15" x14ac:dyDescent="0.2">
      <c r="A775" t="s">
        <v>36</v>
      </c>
      <c r="B775">
        <v>7</v>
      </c>
      <c r="C775" s="1" t="s">
        <v>13</v>
      </c>
      <c r="D775">
        <v>8</v>
      </c>
      <c r="E775">
        <v>3.3610000000000002</v>
      </c>
      <c r="F775">
        <v>11.74</v>
      </c>
      <c r="G775">
        <v>0.23699999999999999</v>
      </c>
      <c r="L775">
        <v>0.3</v>
      </c>
      <c r="O775">
        <v>19</v>
      </c>
    </row>
    <row r="776" spans="1:15" x14ac:dyDescent="0.2">
      <c r="A776" t="s">
        <v>36</v>
      </c>
      <c r="B776">
        <v>7</v>
      </c>
      <c r="C776" s="1" t="s">
        <v>13</v>
      </c>
      <c r="D776">
        <v>9</v>
      </c>
      <c r="E776">
        <v>2.335</v>
      </c>
      <c r="F776">
        <v>10.050000000000001</v>
      </c>
      <c r="G776">
        <v>0.21299999999999999</v>
      </c>
      <c r="L776">
        <v>0.3</v>
      </c>
      <c r="O776">
        <v>19</v>
      </c>
    </row>
    <row r="777" spans="1:15" x14ac:dyDescent="0.2">
      <c r="A777" t="s">
        <v>36</v>
      </c>
      <c r="B777">
        <v>7</v>
      </c>
      <c r="C777" s="1" t="s">
        <v>40</v>
      </c>
      <c r="D777">
        <v>1</v>
      </c>
      <c r="E777">
        <v>0.43</v>
      </c>
      <c r="F777">
        <v>60.41</v>
      </c>
      <c r="G777">
        <v>0.33100000000000002</v>
      </c>
      <c r="L777">
        <v>0.3</v>
      </c>
      <c r="O777">
        <v>1</v>
      </c>
    </row>
    <row r="778" spans="1:15" x14ac:dyDescent="0.2">
      <c r="A778" t="s">
        <v>36</v>
      </c>
      <c r="B778">
        <v>7</v>
      </c>
      <c r="C778" s="1" t="s">
        <v>40</v>
      </c>
      <c r="D778">
        <v>2</v>
      </c>
      <c r="E778">
        <v>0.38600000000000001</v>
      </c>
      <c r="F778">
        <v>61.06</v>
      </c>
      <c r="G778">
        <v>0.23599999999999999</v>
      </c>
      <c r="L778">
        <v>0.3</v>
      </c>
      <c r="O778">
        <v>1</v>
      </c>
    </row>
    <row r="779" spans="1:15" x14ac:dyDescent="0.2">
      <c r="A779" t="s">
        <v>36</v>
      </c>
      <c r="B779">
        <v>7</v>
      </c>
      <c r="C779" s="1" t="s">
        <v>40</v>
      </c>
      <c r="D779">
        <v>3</v>
      </c>
      <c r="E779">
        <v>0.34699999999999998</v>
      </c>
      <c r="F779">
        <v>48.02</v>
      </c>
      <c r="G779">
        <v>0.23499999999999999</v>
      </c>
      <c r="L779">
        <v>0.3</v>
      </c>
      <c r="O779">
        <v>1</v>
      </c>
    </row>
    <row r="780" spans="1:15" x14ac:dyDescent="0.2">
      <c r="A780" t="s">
        <v>36</v>
      </c>
      <c r="B780">
        <v>7</v>
      </c>
      <c r="C780" s="1" t="s">
        <v>40</v>
      </c>
      <c r="D780">
        <v>4</v>
      </c>
      <c r="E780">
        <v>0.43099999999999999</v>
      </c>
      <c r="F780">
        <v>76.52</v>
      </c>
      <c r="G780">
        <v>0.31900000000000001</v>
      </c>
      <c r="L780">
        <v>0.3</v>
      </c>
      <c r="O780">
        <v>1</v>
      </c>
    </row>
    <row r="781" spans="1:15" x14ac:dyDescent="0.2">
      <c r="A781" t="s">
        <v>36</v>
      </c>
      <c r="B781">
        <v>7</v>
      </c>
      <c r="C781" s="1" t="s">
        <v>40</v>
      </c>
      <c r="D781">
        <v>5</v>
      </c>
      <c r="E781">
        <v>0.41699999999999998</v>
      </c>
      <c r="F781">
        <v>74.319999999999993</v>
      </c>
      <c r="G781">
        <v>0.24299999999999999</v>
      </c>
      <c r="L781">
        <v>0.3</v>
      </c>
      <c r="O781">
        <v>1</v>
      </c>
    </row>
    <row r="782" spans="1:15" x14ac:dyDescent="0.2">
      <c r="A782" t="s">
        <v>36</v>
      </c>
      <c r="B782">
        <v>7</v>
      </c>
      <c r="C782" s="1" t="s">
        <v>40</v>
      </c>
      <c r="D782">
        <v>6</v>
      </c>
      <c r="E782">
        <v>0.41599999999999998</v>
      </c>
      <c r="F782">
        <v>56.93</v>
      </c>
      <c r="G782">
        <v>0.246</v>
      </c>
      <c r="L782">
        <v>0.3</v>
      </c>
      <c r="O782">
        <v>1</v>
      </c>
    </row>
    <row r="783" spans="1:15" x14ac:dyDescent="0.2">
      <c r="A783" t="s">
        <v>36</v>
      </c>
      <c r="B783">
        <v>7</v>
      </c>
      <c r="C783" s="1" t="s">
        <v>40</v>
      </c>
      <c r="D783">
        <v>7</v>
      </c>
      <c r="E783">
        <v>0.376</v>
      </c>
      <c r="F783">
        <v>46.03</v>
      </c>
      <c r="G783">
        <v>0.28100000000000003</v>
      </c>
      <c r="L783">
        <v>0.3</v>
      </c>
      <c r="O783">
        <v>1</v>
      </c>
    </row>
    <row r="784" spans="1:15" x14ac:dyDescent="0.2">
      <c r="A784" t="s">
        <v>36</v>
      </c>
      <c r="B784">
        <v>7</v>
      </c>
      <c r="C784" s="1" t="s">
        <v>40</v>
      </c>
      <c r="D784">
        <v>8</v>
      </c>
      <c r="E784">
        <v>0.40699999999999997</v>
      </c>
      <c r="F784">
        <v>69.05</v>
      </c>
      <c r="G784">
        <v>0.20499999999999999</v>
      </c>
      <c r="L784">
        <v>0.3</v>
      </c>
      <c r="O784">
        <v>1</v>
      </c>
    </row>
    <row r="785" spans="1:15" x14ac:dyDescent="0.2">
      <c r="A785" t="s">
        <v>36</v>
      </c>
      <c r="B785">
        <v>7</v>
      </c>
      <c r="C785" s="1" t="s">
        <v>40</v>
      </c>
      <c r="D785">
        <v>9</v>
      </c>
      <c r="E785">
        <v>0.46500000000000002</v>
      </c>
      <c r="F785">
        <v>52.65</v>
      </c>
      <c r="G785">
        <v>0.253</v>
      </c>
      <c r="L785">
        <v>0.3</v>
      </c>
      <c r="O785">
        <v>1</v>
      </c>
    </row>
    <row r="786" spans="1:15" x14ac:dyDescent="0.2">
      <c r="A786" t="s">
        <v>36</v>
      </c>
      <c r="B786">
        <v>7</v>
      </c>
      <c r="C786" s="1" t="s">
        <v>41</v>
      </c>
      <c r="D786">
        <v>1</v>
      </c>
      <c r="E786">
        <v>0.436</v>
      </c>
      <c r="F786">
        <v>48.51</v>
      </c>
      <c r="G786">
        <v>0.253</v>
      </c>
      <c r="L786">
        <v>0.3</v>
      </c>
      <c r="O786">
        <v>7</v>
      </c>
    </row>
    <row r="787" spans="1:15" x14ac:dyDescent="0.2">
      <c r="A787" t="s">
        <v>36</v>
      </c>
      <c r="B787">
        <v>7</v>
      </c>
      <c r="C787" s="1" t="s">
        <v>41</v>
      </c>
      <c r="D787">
        <v>2</v>
      </c>
      <c r="E787">
        <v>0.40799999999999997</v>
      </c>
      <c r="F787">
        <v>68.08</v>
      </c>
      <c r="G787">
        <v>0.27200000000000002</v>
      </c>
      <c r="L787">
        <v>0.3</v>
      </c>
      <c r="O787">
        <v>7</v>
      </c>
    </row>
    <row r="788" spans="1:15" x14ac:dyDescent="0.2">
      <c r="A788" t="s">
        <v>36</v>
      </c>
      <c r="B788">
        <v>7</v>
      </c>
      <c r="C788" s="1" t="s">
        <v>41</v>
      </c>
      <c r="D788">
        <v>3</v>
      </c>
      <c r="E788">
        <v>0.34200000000000003</v>
      </c>
      <c r="F788">
        <v>44.43</v>
      </c>
      <c r="G788">
        <v>0.39</v>
      </c>
      <c r="L788">
        <v>0.3</v>
      </c>
      <c r="O788">
        <v>7</v>
      </c>
    </row>
    <row r="789" spans="1:15" x14ac:dyDescent="0.2">
      <c r="A789" t="s">
        <v>36</v>
      </c>
      <c r="B789">
        <v>7</v>
      </c>
      <c r="C789" s="1" t="s">
        <v>41</v>
      </c>
      <c r="D789">
        <v>4</v>
      </c>
      <c r="E789">
        <v>0.39900000000000002</v>
      </c>
      <c r="F789">
        <v>44.09</v>
      </c>
      <c r="G789">
        <v>0.253</v>
      </c>
      <c r="L789">
        <v>0.3</v>
      </c>
      <c r="O789">
        <v>7</v>
      </c>
    </row>
    <row r="790" spans="1:15" x14ac:dyDescent="0.2">
      <c r="A790" t="s">
        <v>36</v>
      </c>
      <c r="B790">
        <v>7</v>
      </c>
      <c r="C790" s="1" t="s">
        <v>41</v>
      </c>
      <c r="D790">
        <v>5</v>
      </c>
      <c r="E790">
        <v>0.40600000000000003</v>
      </c>
      <c r="F790">
        <v>64.8</v>
      </c>
      <c r="G790">
        <v>0.34699999999999998</v>
      </c>
      <c r="L790">
        <v>0.3</v>
      </c>
      <c r="O790">
        <v>7</v>
      </c>
    </row>
    <row r="791" spans="1:15" x14ac:dyDescent="0.2">
      <c r="A791" t="s">
        <v>36</v>
      </c>
      <c r="B791">
        <v>7</v>
      </c>
      <c r="C791" s="1" t="s">
        <v>41</v>
      </c>
      <c r="D791">
        <v>6</v>
      </c>
      <c r="E791">
        <v>0.44800000000000001</v>
      </c>
      <c r="F791">
        <v>75.59</v>
      </c>
      <c r="G791">
        <v>0.30499999999999999</v>
      </c>
      <c r="L791">
        <v>0.3</v>
      </c>
      <c r="O791">
        <v>7</v>
      </c>
    </row>
    <row r="792" spans="1:15" x14ac:dyDescent="0.2">
      <c r="A792" t="s">
        <v>36</v>
      </c>
      <c r="B792">
        <v>7</v>
      </c>
      <c r="C792" s="1" t="s">
        <v>41</v>
      </c>
      <c r="D792">
        <v>7</v>
      </c>
      <c r="E792">
        <v>0.39800000000000002</v>
      </c>
      <c r="F792">
        <v>62.82</v>
      </c>
      <c r="G792">
        <v>0.224</v>
      </c>
      <c r="L792">
        <v>0.3</v>
      </c>
      <c r="O792">
        <v>7</v>
      </c>
    </row>
    <row r="793" spans="1:15" x14ac:dyDescent="0.2">
      <c r="A793" t="s">
        <v>36</v>
      </c>
      <c r="B793">
        <v>7</v>
      </c>
      <c r="C793" s="1" t="s">
        <v>41</v>
      </c>
      <c r="D793">
        <v>8</v>
      </c>
      <c r="E793">
        <v>0.435</v>
      </c>
      <c r="F793">
        <v>71.510000000000005</v>
      </c>
      <c r="G793">
        <v>0.23200000000000001</v>
      </c>
      <c r="L793">
        <v>0.3</v>
      </c>
      <c r="O793">
        <v>7</v>
      </c>
    </row>
    <row r="794" spans="1:15" x14ac:dyDescent="0.2">
      <c r="A794" t="s">
        <v>36</v>
      </c>
      <c r="B794">
        <v>7</v>
      </c>
      <c r="C794" s="1" t="s">
        <v>41</v>
      </c>
      <c r="D794">
        <v>9</v>
      </c>
      <c r="E794">
        <v>0.40200000000000002</v>
      </c>
      <c r="F794">
        <v>67.45</v>
      </c>
      <c r="G794">
        <v>0.24299999999999999</v>
      </c>
      <c r="L794">
        <v>0.3</v>
      </c>
      <c r="O794">
        <v>7</v>
      </c>
    </row>
    <row r="795" spans="1:15" x14ac:dyDescent="0.2">
      <c r="A795" t="s">
        <v>36</v>
      </c>
      <c r="B795">
        <v>7</v>
      </c>
      <c r="C795" s="1" t="s">
        <v>43</v>
      </c>
      <c r="D795">
        <v>1</v>
      </c>
      <c r="E795">
        <v>0.69599999999999995</v>
      </c>
      <c r="F795">
        <v>7.38</v>
      </c>
      <c r="G795">
        <v>1.597</v>
      </c>
      <c r="L795">
        <v>0.3</v>
      </c>
      <c r="O795">
        <v>7</v>
      </c>
    </row>
    <row r="796" spans="1:15" x14ac:dyDescent="0.2">
      <c r="A796" t="s">
        <v>36</v>
      </c>
      <c r="B796">
        <v>7</v>
      </c>
      <c r="C796" s="1" t="s">
        <v>43</v>
      </c>
      <c r="D796">
        <v>2</v>
      </c>
      <c r="E796">
        <v>0.94899999999999995</v>
      </c>
      <c r="F796">
        <v>7.66</v>
      </c>
      <c r="G796">
        <v>1.4219999999999999</v>
      </c>
      <c r="L796">
        <v>0.3</v>
      </c>
      <c r="O796">
        <v>7</v>
      </c>
    </row>
    <row r="797" spans="1:15" x14ac:dyDescent="0.2">
      <c r="A797" t="s">
        <v>36</v>
      </c>
      <c r="B797">
        <v>7</v>
      </c>
      <c r="C797" s="1" t="s">
        <v>43</v>
      </c>
      <c r="D797">
        <v>3</v>
      </c>
      <c r="E797">
        <v>0.44400000000000001</v>
      </c>
      <c r="F797">
        <v>6.51</v>
      </c>
      <c r="G797">
        <v>1.52</v>
      </c>
      <c r="L797">
        <v>0.3</v>
      </c>
      <c r="O797">
        <v>7</v>
      </c>
    </row>
    <row r="798" spans="1:15" x14ac:dyDescent="0.2">
      <c r="A798" t="s">
        <v>36</v>
      </c>
      <c r="B798">
        <v>7</v>
      </c>
      <c r="C798" s="1" t="s">
        <v>43</v>
      </c>
      <c r="D798">
        <v>4</v>
      </c>
      <c r="E798">
        <v>0.752</v>
      </c>
      <c r="F798">
        <v>7.93</v>
      </c>
      <c r="G798">
        <v>0.96799999999999997</v>
      </c>
      <c r="L798">
        <v>0.3</v>
      </c>
      <c r="O798">
        <v>7</v>
      </c>
    </row>
    <row r="799" spans="1:15" x14ac:dyDescent="0.2">
      <c r="A799" t="s">
        <v>36</v>
      </c>
      <c r="B799">
        <v>7</v>
      </c>
      <c r="C799" s="1" t="s">
        <v>43</v>
      </c>
      <c r="D799">
        <v>5</v>
      </c>
      <c r="E799">
        <v>0.59499999999999997</v>
      </c>
      <c r="F799">
        <v>11.4</v>
      </c>
      <c r="G799">
        <v>2.5059999999999998</v>
      </c>
      <c r="L799">
        <v>0.3</v>
      </c>
      <c r="O799">
        <v>7</v>
      </c>
    </row>
    <row r="800" spans="1:15" x14ac:dyDescent="0.2">
      <c r="A800" t="s">
        <v>36</v>
      </c>
      <c r="B800">
        <v>7</v>
      </c>
      <c r="C800" s="1" t="s">
        <v>43</v>
      </c>
      <c r="D800">
        <v>6</v>
      </c>
      <c r="E800">
        <v>0.85799999999999998</v>
      </c>
      <c r="F800">
        <v>5.99</v>
      </c>
      <c r="G800">
        <v>2.351</v>
      </c>
      <c r="L800">
        <v>0.3</v>
      </c>
      <c r="O800">
        <v>7</v>
      </c>
    </row>
    <row r="801" spans="1:15" x14ac:dyDescent="0.2">
      <c r="A801" t="s">
        <v>36</v>
      </c>
      <c r="B801">
        <v>7</v>
      </c>
      <c r="C801" s="1" t="s">
        <v>43</v>
      </c>
      <c r="D801">
        <v>7</v>
      </c>
      <c r="E801">
        <v>1.617</v>
      </c>
      <c r="F801">
        <v>10.71</v>
      </c>
      <c r="G801">
        <v>2.327</v>
      </c>
      <c r="L801">
        <v>0.3</v>
      </c>
      <c r="O801">
        <v>7</v>
      </c>
    </row>
    <row r="802" spans="1:15" x14ac:dyDescent="0.2">
      <c r="A802" t="s">
        <v>36</v>
      </c>
      <c r="B802">
        <v>7</v>
      </c>
      <c r="C802" s="1" t="s">
        <v>43</v>
      </c>
      <c r="D802">
        <v>8</v>
      </c>
      <c r="E802">
        <v>0.92</v>
      </c>
      <c r="F802">
        <v>8.82</v>
      </c>
      <c r="G802">
        <v>1.242</v>
      </c>
      <c r="L802">
        <v>0.3</v>
      </c>
      <c r="O802">
        <v>7</v>
      </c>
    </row>
    <row r="803" spans="1:15" x14ac:dyDescent="0.2">
      <c r="A803" t="s">
        <v>36</v>
      </c>
      <c r="B803">
        <v>7</v>
      </c>
      <c r="C803" s="1" t="s">
        <v>43</v>
      </c>
      <c r="D803">
        <v>9</v>
      </c>
      <c r="E803">
        <v>0.93799999999999994</v>
      </c>
      <c r="F803">
        <v>5.32</v>
      </c>
      <c r="G803">
        <v>2.4449999999999998</v>
      </c>
      <c r="L803">
        <v>0.3</v>
      </c>
      <c r="O803">
        <v>7</v>
      </c>
    </row>
    <row r="804" spans="1:15" x14ac:dyDescent="0.2">
      <c r="A804" t="s">
        <v>36</v>
      </c>
      <c r="B804">
        <v>7</v>
      </c>
      <c r="C804" s="1" t="s">
        <v>44</v>
      </c>
      <c r="D804">
        <v>1</v>
      </c>
      <c r="E804">
        <v>3.6139999999999999</v>
      </c>
      <c r="F804">
        <v>10.130000000000001</v>
      </c>
      <c r="G804">
        <v>0.871</v>
      </c>
      <c r="L804">
        <v>0.3</v>
      </c>
      <c r="O804">
        <v>4</v>
      </c>
    </row>
    <row r="805" spans="1:15" x14ac:dyDescent="0.2">
      <c r="A805" t="s">
        <v>36</v>
      </c>
      <c r="B805">
        <v>7</v>
      </c>
      <c r="C805" s="1" t="s">
        <v>44</v>
      </c>
      <c r="D805">
        <v>2</v>
      </c>
      <c r="E805">
        <v>6.12</v>
      </c>
      <c r="F805">
        <v>9.7200000000000006</v>
      </c>
      <c r="G805">
        <v>0.33800000000000002</v>
      </c>
      <c r="L805">
        <v>0.3</v>
      </c>
      <c r="O805">
        <v>4</v>
      </c>
    </row>
    <row r="806" spans="1:15" x14ac:dyDescent="0.2">
      <c r="A806" t="s">
        <v>36</v>
      </c>
      <c r="B806">
        <v>7</v>
      </c>
      <c r="C806" s="1" t="s">
        <v>44</v>
      </c>
      <c r="D806">
        <v>3</v>
      </c>
      <c r="E806">
        <v>4.0149999999999997</v>
      </c>
      <c r="F806">
        <v>11.64</v>
      </c>
      <c r="G806">
        <v>0.439</v>
      </c>
      <c r="L806">
        <v>0.3</v>
      </c>
      <c r="O806">
        <v>4</v>
      </c>
    </row>
    <row r="807" spans="1:15" x14ac:dyDescent="0.2">
      <c r="A807" t="s">
        <v>36</v>
      </c>
      <c r="B807">
        <v>7</v>
      </c>
      <c r="C807" s="1" t="s">
        <v>44</v>
      </c>
      <c r="D807">
        <v>4</v>
      </c>
      <c r="E807">
        <v>4.6829999999999998</v>
      </c>
      <c r="F807">
        <v>13.14</v>
      </c>
      <c r="G807">
        <v>0.39700000000000002</v>
      </c>
      <c r="L807">
        <v>0.3</v>
      </c>
      <c r="O807">
        <v>4</v>
      </c>
    </row>
    <row r="808" spans="1:15" x14ac:dyDescent="0.2">
      <c r="A808" t="s">
        <v>36</v>
      </c>
      <c r="B808">
        <v>7</v>
      </c>
      <c r="C808" s="1" t="s">
        <v>44</v>
      </c>
      <c r="D808">
        <v>5</v>
      </c>
      <c r="E808">
        <v>2.8039999999999998</v>
      </c>
      <c r="F808">
        <v>13.56</v>
      </c>
      <c r="G808">
        <v>0.36099999999999999</v>
      </c>
      <c r="L808">
        <v>0.3</v>
      </c>
      <c r="O808">
        <v>4</v>
      </c>
    </row>
    <row r="809" spans="1:15" x14ac:dyDescent="0.2">
      <c r="A809" t="s">
        <v>36</v>
      </c>
      <c r="B809">
        <v>7</v>
      </c>
      <c r="C809" s="1" t="s">
        <v>44</v>
      </c>
      <c r="D809">
        <v>6</v>
      </c>
      <c r="E809">
        <v>3.448</v>
      </c>
      <c r="F809">
        <v>19.16</v>
      </c>
      <c r="G809">
        <v>0.49099999999999999</v>
      </c>
      <c r="L809">
        <v>0.3</v>
      </c>
      <c r="O809">
        <v>4</v>
      </c>
    </row>
    <row r="810" spans="1:15" x14ac:dyDescent="0.2">
      <c r="A810" t="s">
        <v>36</v>
      </c>
      <c r="B810">
        <v>7</v>
      </c>
      <c r="C810" s="1" t="s">
        <v>44</v>
      </c>
      <c r="D810">
        <v>7</v>
      </c>
      <c r="E810">
        <v>4.0220000000000002</v>
      </c>
      <c r="F810">
        <v>17.66</v>
      </c>
      <c r="G810">
        <v>0.26600000000000001</v>
      </c>
      <c r="L810">
        <v>0.3</v>
      </c>
      <c r="O810">
        <v>4</v>
      </c>
    </row>
    <row r="811" spans="1:15" x14ac:dyDescent="0.2">
      <c r="A811" t="s">
        <v>36</v>
      </c>
      <c r="B811">
        <v>7</v>
      </c>
      <c r="C811" s="1" t="s">
        <v>44</v>
      </c>
      <c r="D811">
        <v>8</v>
      </c>
      <c r="E811">
        <v>2.5289999999999999</v>
      </c>
      <c r="F811">
        <v>14.24</v>
      </c>
      <c r="G811">
        <v>0.40699999999999997</v>
      </c>
      <c r="L811">
        <v>0.3</v>
      </c>
      <c r="O811">
        <v>4</v>
      </c>
    </row>
    <row r="812" spans="1:15" x14ac:dyDescent="0.2">
      <c r="A812" t="s">
        <v>36</v>
      </c>
      <c r="B812">
        <v>7</v>
      </c>
      <c r="C812" s="1" t="s">
        <v>44</v>
      </c>
      <c r="D812">
        <v>9</v>
      </c>
      <c r="E812">
        <v>3.35</v>
      </c>
      <c r="F812">
        <v>12.07</v>
      </c>
      <c r="G812">
        <v>0.43099999999999999</v>
      </c>
      <c r="L812">
        <v>0.3</v>
      </c>
      <c r="O812">
        <v>4</v>
      </c>
    </row>
    <row r="813" spans="1:15" x14ac:dyDescent="0.2">
      <c r="A813" t="s">
        <v>36</v>
      </c>
      <c r="B813">
        <v>7</v>
      </c>
      <c r="C813" s="1" t="s">
        <v>45</v>
      </c>
      <c r="D813">
        <v>1</v>
      </c>
      <c r="E813">
        <v>0.77</v>
      </c>
      <c r="F813">
        <v>34.78</v>
      </c>
      <c r="G813">
        <v>1.41</v>
      </c>
      <c r="L813">
        <v>0.3</v>
      </c>
      <c r="O813">
        <v>1</v>
      </c>
    </row>
    <row r="814" spans="1:15" x14ac:dyDescent="0.2">
      <c r="A814" t="s">
        <v>36</v>
      </c>
      <c r="B814">
        <v>7</v>
      </c>
      <c r="C814" s="1" t="s">
        <v>45</v>
      </c>
      <c r="D814">
        <v>2</v>
      </c>
      <c r="E814">
        <v>0.628</v>
      </c>
      <c r="F814">
        <v>36.54</v>
      </c>
      <c r="G814">
        <v>1.911</v>
      </c>
      <c r="L814">
        <v>0.3</v>
      </c>
      <c r="O814">
        <v>1</v>
      </c>
    </row>
    <row r="815" spans="1:15" x14ac:dyDescent="0.2">
      <c r="A815" t="s">
        <v>36</v>
      </c>
      <c r="B815">
        <v>7</v>
      </c>
      <c r="C815" s="1" t="s">
        <v>45</v>
      </c>
      <c r="D815">
        <v>3</v>
      </c>
      <c r="E815">
        <v>0.71299999999999997</v>
      </c>
      <c r="F815">
        <v>34.450000000000003</v>
      </c>
      <c r="G815">
        <v>1.2549999999999999</v>
      </c>
      <c r="L815">
        <v>0.3</v>
      </c>
      <c r="O815">
        <v>1</v>
      </c>
    </row>
    <row r="816" spans="1:15" x14ac:dyDescent="0.2">
      <c r="A816" t="s">
        <v>36</v>
      </c>
      <c r="B816">
        <v>7</v>
      </c>
      <c r="C816" s="1" t="s">
        <v>45</v>
      </c>
      <c r="D816">
        <v>4</v>
      </c>
      <c r="E816">
        <v>0.50700000000000001</v>
      </c>
      <c r="F816">
        <v>39.92</v>
      </c>
      <c r="G816">
        <v>1.111</v>
      </c>
      <c r="L816">
        <v>0.3</v>
      </c>
      <c r="O816">
        <v>1</v>
      </c>
    </row>
    <row r="817" spans="1:15" x14ac:dyDescent="0.2">
      <c r="A817" t="s">
        <v>36</v>
      </c>
      <c r="B817">
        <v>7</v>
      </c>
      <c r="C817" s="1" t="s">
        <v>45</v>
      </c>
      <c r="D817">
        <v>5</v>
      </c>
      <c r="E817">
        <v>0.76</v>
      </c>
      <c r="F817">
        <v>27.54</v>
      </c>
      <c r="G817">
        <v>1.381</v>
      </c>
      <c r="L817">
        <v>0.3</v>
      </c>
      <c r="O817">
        <v>1</v>
      </c>
    </row>
    <row r="818" spans="1:15" x14ac:dyDescent="0.2">
      <c r="A818" t="s">
        <v>36</v>
      </c>
      <c r="B818">
        <v>7</v>
      </c>
      <c r="C818" s="1" t="s">
        <v>45</v>
      </c>
      <c r="D818">
        <v>6</v>
      </c>
      <c r="E818">
        <v>0.871</v>
      </c>
      <c r="F818">
        <v>29.23</v>
      </c>
      <c r="G818">
        <v>1.2829999999999999</v>
      </c>
      <c r="L818">
        <v>0.3</v>
      </c>
      <c r="O818">
        <v>1</v>
      </c>
    </row>
    <row r="819" spans="1:15" x14ac:dyDescent="0.2">
      <c r="A819" t="s">
        <v>36</v>
      </c>
      <c r="B819">
        <v>7</v>
      </c>
      <c r="C819" s="1" t="s">
        <v>45</v>
      </c>
      <c r="D819">
        <v>7</v>
      </c>
      <c r="E819">
        <v>0.46800000000000003</v>
      </c>
      <c r="F819">
        <v>25.91</v>
      </c>
      <c r="G819">
        <v>0.94099999999999995</v>
      </c>
      <c r="L819">
        <v>0.3</v>
      </c>
      <c r="O819">
        <v>1</v>
      </c>
    </row>
    <row r="820" spans="1:15" x14ac:dyDescent="0.2">
      <c r="A820" t="s">
        <v>36</v>
      </c>
      <c r="B820">
        <v>7</v>
      </c>
      <c r="C820" s="1" t="s">
        <v>45</v>
      </c>
      <c r="D820">
        <v>8</v>
      </c>
      <c r="E820">
        <v>0.76500000000000001</v>
      </c>
      <c r="F820">
        <v>48.41</v>
      </c>
      <c r="G820">
        <v>1.1659999999999999</v>
      </c>
      <c r="L820">
        <v>0.3</v>
      </c>
      <c r="O820">
        <v>1</v>
      </c>
    </row>
    <row r="821" spans="1:15" x14ac:dyDescent="0.2">
      <c r="A821" t="s">
        <v>36</v>
      </c>
      <c r="B821">
        <v>7</v>
      </c>
      <c r="C821" s="1" t="s">
        <v>45</v>
      </c>
      <c r="D821">
        <v>9</v>
      </c>
      <c r="E821">
        <v>0.82899999999999996</v>
      </c>
      <c r="F821">
        <v>26.93</v>
      </c>
      <c r="G821">
        <v>1.1000000000000001</v>
      </c>
      <c r="L821">
        <v>0.3</v>
      </c>
      <c r="O821">
        <v>1</v>
      </c>
    </row>
    <row r="822" spans="1:15" x14ac:dyDescent="0.2">
      <c r="A822" t="s">
        <v>36</v>
      </c>
      <c r="B822">
        <v>7</v>
      </c>
      <c r="C822" s="1" t="s">
        <v>46</v>
      </c>
      <c r="D822">
        <v>1</v>
      </c>
      <c r="E822">
        <v>0.436</v>
      </c>
      <c r="F822">
        <v>56.4</v>
      </c>
      <c r="G822">
        <v>0.24099999999999999</v>
      </c>
      <c r="L822">
        <v>0.3</v>
      </c>
      <c r="O822">
        <v>1</v>
      </c>
    </row>
    <row r="823" spans="1:15" x14ac:dyDescent="0.2">
      <c r="A823" t="s">
        <v>36</v>
      </c>
      <c r="B823">
        <v>7</v>
      </c>
      <c r="C823" s="1" t="s">
        <v>46</v>
      </c>
      <c r="D823">
        <v>2</v>
      </c>
      <c r="E823">
        <v>0.35899999999999999</v>
      </c>
      <c r="F823">
        <v>67.459999999999994</v>
      </c>
      <c r="G823">
        <v>0.34300000000000003</v>
      </c>
      <c r="L823">
        <v>0.3</v>
      </c>
      <c r="O823">
        <v>1</v>
      </c>
    </row>
    <row r="824" spans="1:15" x14ac:dyDescent="0.2">
      <c r="A824" t="s">
        <v>36</v>
      </c>
      <c r="B824">
        <v>7</v>
      </c>
      <c r="C824" s="1" t="s">
        <v>46</v>
      </c>
      <c r="D824">
        <v>3</v>
      </c>
      <c r="E824">
        <v>0.372</v>
      </c>
      <c r="F824">
        <v>70.8</v>
      </c>
      <c r="G824">
        <v>0.3</v>
      </c>
      <c r="L824">
        <v>0.3</v>
      </c>
      <c r="O824">
        <v>1</v>
      </c>
    </row>
    <row r="825" spans="1:15" x14ac:dyDescent="0.2">
      <c r="A825" t="s">
        <v>36</v>
      </c>
      <c r="B825">
        <v>7</v>
      </c>
      <c r="C825" s="1" t="s">
        <v>46</v>
      </c>
      <c r="D825">
        <v>4</v>
      </c>
      <c r="E825">
        <v>0.59</v>
      </c>
      <c r="F825">
        <v>70.680000000000007</v>
      </c>
      <c r="G825">
        <v>0.32</v>
      </c>
      <c r="L825">
        <v>0.3</v>
      </c>
      <c r="O825">
        <v>1</v>
      </c>
    </row>
    <row r="826" spans="1:15" x14ac:dyDescent="0.2">
      <c r="A826" t="s">
        <v>36</v>
      </c>
      <c r="B826">
        <v>7</v>
      </c>
      <c r="C826" s="1" t="s">
        <v>46</v>
      </c>
      <c r="D826">
        <v>5</v>
      </c>
      <c r="E826">
        <v>0.40600000000000003</v>
      </c>
      <c r="F826">
        <v>52.57</v>
      </c>
      <c r="G826">
        <v>0.378</v>
      </c>
      <c r="L826">
        <v>0.3</v>
      </c>
      <c r="O826">
        <v>1</v>
      </c>
    </row>
    <row r="827" spans="1:15" x14ac:dyDescent="0.2">
      <c r="A827" t="s">
        <v>36</v>
      </c>
      <c r="B827">
        <v>7</v>
      </c>
      <c r="C827" s="1" t="s">
        <v>46</v>
      </c>
      <c r="D827">
        <v>6</v>
      </c>
      <c r="E827">
        <v>0.378</v>
      </c>
      <c r="F827">
        <v>46.66</v>
      </c>
      <c r="G827">
        <v>0.192</v>
      </c>
      <c r="L827">
        <v>0.3</v>
      </c>
      <c r="O827">
        <v>1</v>
      </c>
    </row>
    <row r="828" spans="1:15" x14ac:dyDescent="0.2">
      <c r="A828" t="s">
        <v>36</v>
      </c>
      <c r="B828">
        <v>7</v>
      </c>
      <c r="C828" s="1" t="s">
        <v>46</v>
      </c>
      <c r="D828">
        <v>7</v>
      </c>
      <c r="E828">
        <v>0.36599999999999999</v>
      </c>
      <c r="F828">
        <v>69.09</v>
      </c>
      <c r="G828">
        <v>0.23499999999999999</v>
      </c>
      <c r="L828">
        <v>0.3</v>
      </c>
      <c r="O828">
        <v>1</v>
      </c>
    </row>
    <row r="829" spans="1:15" x14ac:dyDescent="0.2">
      <c r="A829" t="s">
        <v>36</v>
      </c>
      <c r="B829">
        <v>7</v>
      </c>
      <c r="C829" s="1" t="s">
        <v>46</v>
      </c>
      <c r="D829">
        <v>8</v>
      </c>
      <c r="E829">
        <v>0.38100000000000001</v>
      </c>
      <c r="F829">
        <v>52.85</v>
      </c>
      <c r="G829">
        <v>0.26900000000000002</v>
      </c>
      <c r="L829">
        <v>0.3</v>
      </c>
      <c r="O829">
        <v>1</v>
      </c>
    </row>
    <row r="830" spans="1:15" x14ac:dyDescent="0.2">
      <c r="A830" t="s">
        <v>36</v>
      </c>
      <c r="B830">
        <v>7</v>
      </c>
      <c r="C830" s="1" t="s">
        <v>46</v>
      </c>
      <c r="D830">
        <v>9</v>
      </c>
      <c r="E830">
        <v>0.41799999999999998</v>
      </c>
      <c r="F830">
        <v>56.3</v>
      </c>
      <c r="G830">
        <v>0.25</v>
      </c>
      <c r="L830">
        <v>0.3</v>
      </c>
      <c r="O830">
        <v>1</v>
      </c>
    </row>
    <row r="831" spans="1:15" x14ac:dyDescent="0.2">
      <c r="A831" t="s">
        <v>36</v>
      </c>
      <c r="B831">
        <v>7</v>
      </c>
      <c r="C831" s="1" t="s">
        <v>47</v>
      </c>
      <c r="D831">
        <v>1</v>
      </c>
      <c r="E831">
        <v>0.34599999999999997</v>
      </c>
      <c r="F831">
        <v>16.399999999999999</v>
      </c>
      <c r="G831">
        <v>2.121</v>
      </c>
      <c r="L831">
        <v>0.3</v>
      </c>
      <c r="O831">
        <v>1</v>
      </c>
    </row>
    <row r="832" spans="1:15" x14ac:dyDescent="0.2">
      <c r="A832" t="s">
        <v>36</v>
      </c>
      <c r="B832">
        <v>7</v>
      </c>
      <c r="C832" s="1" t="s">
        <v>47</v>
      </c>
      <c r="D832">
        <v>2</v>
      </c>
      <c r="E832">
        <v>0.27600000000000002</v>
      </c>
      <c r="F832">
        <v>12.59</v>
      </c>
      <c r="G832">
        <v>2.3610000000000002</v>
      </c>
      <c r="L832">
        <v>0.3</v>
      </c>
      <c r="O832">
        <v>1</v>
      </c>
    </row>
    <row r="833" spans="1:15" x14ac:dyDescent="0.2">
      <c r="A833" t="s">
        <v>36</v>
      </c>
      <c r="B833">
        <v>7</v>
      </c>
      <c r="C833" s="1" t="s">
        <v>47</v>
      </c>
      <c r="D833">
        <v>3</v>
      </c>
      <c r="E833">
        <v>0.378</v>
      </c>
      <c r="F833">
        <v>15.75</v>
      </c>
      <c r="G833">
        <v>1.5960000000000001</v>
      </c>
      <c r="L833">
        <v>0.3</v>
      </c>
      <c r="O833">
        <v>1</v>
      </c>
    </row>
    <row r="834" spans="1:15" x14ac:dyDescent="0.2">
      <c r="A834" t="s">
        <v>36</v>
      </c>
      <c r="B834">
        <v>7</v>
      </c>
      <c r="C834" s="1" t="s">
        <v>47</v>
      </c>
      <c r="D834">
        <v>4</v>
      </c>
      <c r="E834">
        <v>0.32500000000000001</v>
      </c>
      <c r="F834">
        <v>11.52</v>
      </c>
      <c r="G834">
        <v>2.4289999999999998</v>
      </c>
      <c r="L834">
        <v>0.3</v>
      </c>
      <c r="O834">
        <v>1</v>
      </c>
    </row>
    <row r="835" spans="1:15" x14ac:dyDescent="0.2">
      <c r="A835" t="s">
        <v>36</v>
      </c>
      <c r="B835">
        <v>7</v>
      </c>
      <c r="C835" s="1" t="s">
        <v>47</v>
      </c>
      <c r="D835">
        <v>5</v>
      </c>
      <c r="E835">
        <v>0.33300000000000002</v>
      </c>
      <c r="F835">
        <v>25.22</v>
      </c>
      <c r="G835">
        <v>1.9119999999999999</v>
      </c>
      <c r="L835">
        <v>0.3</v>
      </c>
      <c r="O835">
        <v>1</v>
      </c>
    </row>
    <row r="836" spans="1:15" x14ac:dyDescent="0.2">
      <c r="A836" t="s">
        <v>36</v>
      </c>
      <c r="B836">
        <v>7</v>
      </c>
      <c r="C836" s="1" t="s">
        <v>47</v>
      </c>
      <c r="D836">
        <v>6</v>
      </c>
      <c r="E836">
        <v>0.38200000000000001</v>
      </c>
      <c r="F836">
        <v>17.100000000000001</v>
      </c>
      <c r="G836">
        <v>1.6990000000000001</v>
      </c>
      <c r="L836">
        <v>0.3</v>
      </c>
      <c r="O836">
        <v>1</v>
      </c>
    </row>
    <row r="837" spans="1:15" x14ac:dyDescent="0.2">
      <c r="A837" t="s">
        <v>36</v>
      </c>
      <c r="B837">
        <v>7</v>
      </c>
      <c r="C837" s="1" t="s">
        <v>47</v>
      </c>
      <c r="D837">
        <v>7</v>
      </c>
      <c r="E837">
        <v>0.35899999999999999</v>
      </c>
      <c r="F837">
        <v>18.77</v>
      </c>
      <c r="G837">
        <v>1.395</v>
      </c>
      <c r="L837">
        <v>0.3</v>
      </c>
      <c r="O837">
        <v>1</v>
      </c>
    </row>
    <row r="838" spans="1:15" x14ac:dyDescent="0.2">
      <c r="A838" t="s">
        <v>36</v>
      </c>
      <c r="B838">
        <v>7</v>
      </c>
      <c r="C838" s="1" t="s">
        <v>47</v>
      </c>
      <c r="D838">
        <v>8</v>
      </c>
      <c r="E838">
        <v>0.314</v>
      </c>
      <c r="F838">
        <v>15.4</v>
      </c>
      <c r="G838">
        <v>2.4119999999999999</v>
      </c>
      <c r="L838">
        <v>0.3</v>
      </c>
      <c r="O838">
        <v>1</v>
      </c>
    </row>
    <row r="839" spans="1:15" x14ac:dyDescent="0.2">
      <c r="A839" t="s">
        <v>36</v>
      </c>
      <c r="B839">
        <v>7</v>
      </c>
      <c r="C839" s="1" t="s">
        <v>47</v>
      </c>
      <c r="D839">
        <v>9</v>
      </c>
      <c r="E839">
        <v>0.32300000000000001</v>
      </c>
      <c r="F839">
        <v>13.79</v>
      </c>
      <c r="G839">
        <v>1.6140000000000001</v>
      </c>
      <c r="L839">
        <v>0.3</v>
      </c>
      <c r="O839">
        <v>1</v>
      </c>
    </row>
    <row r="840" spans="1:15" x14ac:dyDescent="0.2">
      <c r="A840" t="s">
        <v>36</v>
      </c>
      <c r="B840">
        <v>7</v>
      </c>
      <c r="C840" s="1" t="s">
        <v>48</v>
      </c>
      <c r="D840">
        <v>1</v>
      </c>
      <c r="E840">
        <v>0.60699999999999998</v>
      </c>
      <c r="F840">
        <v>13.34</v>
      </c>
      <c r="G840">
        <v>0.39100000000000001</v>
      </c>
      <c r="L840">
        <v>0.3</v>
      </c>
      <c r="O840">
        <v>50</v>
      </c>
    </row>
    <row r="841" spans="1:15" x14ac:dyDescent="0.2">
      <c r="A841" t="s">
        <v>36</v>
      </c>
      <c r="B841">
        <v>7</v>
      </c>
      <c r="C841" s="1" t="s">
        <v>48</v>
      </c>
      <c r="D841">
        <v>2</v>
      </c>
      <c r="E841">
        <v>1.1910000000000001</v>
      </c>
      <c r="F841">
        <v>12.11</v>
      </c>
      <c r="G841">
        <v>0.254</v>
      </c>
      <c r="L841">
        <v>0.3</v>
      </c>
      <c r="O841">
        <v>50</v>
      </c>
    </row>
    <row r="842" spans="1:15" x14ac:dyDescent="0.2">
      <c r="A842" t="s">
        <v>36</v>
      </c>
      <c r="B842">
        <v>7</v>
      </c>
      <c r="C842" s="1" t="s">
        <v>48</v>
      </c>
      <c r="D842">
        <v>3</v>
      </c>
      <c r="E842">
        <v>0.83399999999999996</v>
      </c>
      <c r="F842">
        <v>14.47</v>
      </c>
      <c r="G842">
        <v>0.51600000000000001</v>
      </c>
      <c r="L842">
        <v>0.3</v>
      </c>
      <c r="O842">
        <v>50</v>
      </c>
    </row>
    <row r="843" spans="1:15" x14ac:dyDescent="0.2">
      <c r="A843" t="s">
        <v>36</v>
      </c>
      <c r="B843">
        <v>7</v>
      </c>
      <c r="C843" s="1" t="s">
        <v>48</v>
      </c>
      <c r="D843">
        <v>4</v>
      </c>
      <c r="E843">
        <v>0.754</v>
      </c>
      <c r="F843">
        <v>11.45</v>
      </c>
      <c r="G843">
        <v>0.34499999999999997</v>
      </c>
      <c r="L843">
        <v>0.3</v>
      </c>
      <c r="O843">
        <v>50</v>
      </c>
    </row>
    <row r="844" spans="1:15" x14ac:dyDescent="0.2">
      <c r="A844" t="s">
        <v>36</v>
      </c>
      <c r="B844">
        <v>7</v>
      </c>
      <c r="C844" s="1" t="s">
        <v>48</v>
      </c>
      <c r="D844">
        <v>5</v>
      </c>
      <c r="E844">
        <v>0.51300000000000001</v>
      </c>
      <c r="F844">
        <v>16.850000000000001</v>
      </c>
      <c r="G844">
        <v>0.315</v>
      </c>
      <c r="L844">
        <v>0.3</v>
      </c>
      <c r="O844">
        <v>50</v>
      </c>
    </row>
    <row r="845" spans="1:15" x14ac:dyDescent="0.2">
      <c r="A845" t="s">
        <v>36</v>
      </c>
      <c r="B845">
        <v>7</v>
      </c>
      <c r="C845" s="1" t="s">
        <v>48</v>
      </c>
      <c r="D845">
        <v>6</v>
      </c>
      <c r="E845">
        <v>1.0229999999999999</v>
      </c>
      <c r="F845">
        <v>13.8</v>
      </c>
      <c r="G845">
        <v>0.59</v>
      </c>
      <c r="L845">
        <v>0.3</v>
      </c>
      <c r="O845">
        <v>50</v>
      </c>
    </row>
    <row r="846" spans="1:15" x14ac:dyDescent="0.2">
      <c r="A846" t="s">
        <v>36</v>
      </c>
      <c r="B846">
        <v>7</v>
      </c>
      <c r="C846" s="1" t="s">
        <v>48</v>
      </c>
      <c r="D846">
        <v>7</v>
      </c>
      <c r="E846">
        <v>0.63800000000000001</v>
      </c>
      <c r="F846">
        <v>11.69</v>
      </c>
      <c r="G846">
        <v>0.33300000000000002</v>
      </c>
      <c r="L846">
        <v>0.3</v>
      </c>
      <c r="O846">
        <v>50</v>
      </c>
    </row>
    <row r="847" spans="1:15" x14ac:dyDescent="0.2">
      <c r="A847" t="s">
        <v>36</v>
      </c>
      <c r="B847">
        <v>7</v>
      </c>
      <c r="C847" s="1" t="s">
        <v>48</v>
      </c>
      <c r="D847">
        <v>8</v>
      </c>
      <c r="E847">
        <v>0.66700000000000004</v>
      </c>
      <c r="F847">
        <v>8.99</v>
      </c>
      <c r="G847">
        <v>0.78900000000000003</v>
      </c>
      <c r="L847">
        <v>0.3</v>
      </c>
      <c r="O847">
        <v>50</v>
      </c>
    </row>
    <row r="848" spans="1:15" x14ac:dyDescent="0.2">
      <c r="A848" t="s">
        <v>36</v>
      </c>
      <c r="B848">
        <v>7</v>
      </c>
      <c r="C848" s="1" t="s">
        <v>48</v>
      </c>
      <c r="D848">
        <v>9</v>
      </c>
      <c r="E848">
        <v>0.876</v>
      </c>
      <c r="F848">
        <v>14.92</v>
      </c>
      <c r="G848">
        <v>0.18</v>
      </c>
      <c r="L848">
        <v>0.3</v>
      </c>
      <c r="O848">
        <v>50</v>
      </c>
    </row>
    <row r="849" spans="1:15" x14ac:dyDescent="0.2">
      <c r="A849" t="s">
        <v>36</v>
      </c>
      <c r="B849">
        <v>7</v>
      </c>
      <c r="C849" s="1" t="s">
        <v>51</v>
      </c>
      <c r="D849">
        <v>1</v>
      </c>
      <c r="E849">
        <v>0.39700000000000002</v>
      </c>
      <c r="F849">
        <v>57.89</v>
      </c>
      <c r="G849">
        <v>0.40300000000000002</v>
      </c>
      <c r="L849">
        <v>0.3</v>
      </c>
      <c r="O849">
        <v>7</v>
      </c>
    </row>
    <row r="850" spans="1:15" x14ac:dyDescent="0.2">
      <c r="A850" t="s">
        <v>36</v>
      </c>
      <c r="B850">
        <v>7</v>
      </c>
      <c r="C850" s="1" t="s">
        <v>51</v>
      </c>
      <c r="D850">
        <v>2</v>
      </c>
      <c r="E850">
        <v>0.41699999999999998</v>
      </c>
      <c r="F850">
        <v>57.13</v>
      </c>
      <c r="G850">
        <v>0.28199999999999997</v>
      </c>
      <c r="L850">
        <v>0.3</v>
      </c>
      <c r="O850">
        <v>7</v>
      </c>
    </row>
    <row r="851" spans="1:15" x14ac:dyDescent="0.2">
      <c r="A851" t="s">
        <v>36</v>
      </c>
      <c r="B851">
        <v>7</v>
      </c>
      <c r="C851" s="1" t="s">
        <v>51</v>
      </c>
      <c r="D851">
        <v>3</v>
      </c>
      <c r="E851">
        <v>0.38200000000000001</v>
      </c>
      <c r="F851">
        <v>66.819999999999993</v>
      </c>
      <c r="G851">
        <v>0.29499999999999998</v>
      </c>
      <c r="L851">
        <v>0.3</v>
      </c>
      <c r="O851">
        <v>7</v>
      </c>
    </row>
    <row r="852" spans="1:15" x14ac:dyDescent="0.2">
      <c r="A852" t="s">
        <v>36</v>
      </c>
      <c r="B852">
        <v>7</v>
      </c>
      <c r="C852" s="1" t="s">
        <v>51</v>
      </c>
      <c r="D852">
        <v>4</v>
      </c>
      <c r="E852">
        <v>0.495</v>
      </c>
      <c r="F852">
        <v>46.39</v>
      </c>
      <c r="G852">
        <v>0.27700000000000002</v>
      </c>
      <c r="L852">
        <v>0.3</v>
      </c>
      <c r="O852">
        <v>7</v>
      </c>
    </row>
    <row r="853" spans="1:15" x14ac:dyDescent="0.2">
      <c r="A853" t="s">
        <v>36</v>
      </c>
      <c r="B853">
        <v>7</v>
      </c>
      <c r="C853" s="1" t="s">
        <v>51</v>
      </c>
      <c r="D853">
        <v>5</v>
      </c>
      <c r="E853">
        <v>0.41399999999999998</v>
      </c>
      <c r="F853">
        <v>50.92</v>
      </c>
      <c r="G853">
        <v>0.20399999999999999</v>
      </c>
      <c r="L853">
        <v>0.3</v>
      </c>
      <c r="O853">
        <v>7</v>
      </c>
    </row>
    <row r="854" spans="1:15" x14ac:dyDescent="0.2">
      <c r="A854" t="s">
        <v>36</v>
      </c>
      <c r="B854">
        <v>7</v>
      </c>
      <c r="C854" s="1" t="s">
        <v>51</v>
      </c>
      <c r="D854">
        <v>6</v>
      </c>
      <c r="E854">
        <v>0.33900000000000002</v>
      </c>
      <c r="F854">
        <v>60.45</v>
      </c>
      <c r="G854">
        <v>0.307</v>
      </c>
      <c r="L854">
        <v>0.3</v>
      </c>
      <c r="O854">
        <v>7</v>
      </c>
    </row>
    <row r="855" spans="1:15" x14ac:dyDescent="0.2">
      <c r="A855" t="s">
        <v>36</v>
      </c>
      <c r="B855">
        <v>7</v>
      </c>
      <c r="C855" s="1" t="s">
        <v>51</v>
      </c>
      <c r="D855">
        <v>7</v>
      </c>
      <c r="E855">
        <v>0.379</v>
      </c>
      <c r="F855">
        <v>76.400000000000006</v>
      </c>
      <c r="G855">
        <v>0.27300000000000002</v>
      </c>
      <c r="L855">
        <v>0.3</v>
      </c>
      <c r="O855">
        <v>7</v>
      </c>
    </row>
    <row r="856" spans="1:15" x14ac:dyDescent="0.2">
      <c r="A856" t="s">
        <v>36</v>
      </c>
      <c r="B856">
        <v>7</v>
      </c>
      <c r="C856" s="1" t="s">
        <v>51</v>
      </c>
      <c r="D856">
        <v>8</v>
      </c>
      <c r="E856">
        <v>0.42099999999999999</v>
      </c>
      <c r="F856">
        <v>67.540000000000006</v>
      </c>
      <c r="G856">
        <v>0.23400000000000001</v>
      </c>
      <c r="L856">
        <v>0.3</v>
      </c>
      <c r="O856">
        <v>7</v>
      </c>
    </row>
    <row r="857" spans="1:15" x14ac:dyDescent="0.2">
      <c r="A857" t="s">
        <v>36</v>
      </c>
      <c r="B857">
        <v>7</v>
      </c>
      <c r="C857" s="1" t="s">
        <v>51</v>
      </c>
      <c r="D857">
        <v>9</v>
      </c>
      <c r="E857">
        <v>0.436</v>
      </c>
      <c r="F857">
        <v>58.96</v>
      </c>
      <c r="G857">
        <v>0.245</v>
      </c>
      <c r="L857">
        <v>0.3</v>
      </c>
      <c r="O857">
        <v>7</v>
      </c>
    </row>
    <row r="858" spans="1:15" x14ac:dyDescent="0.2">
      <c r="A858" t="s">
        <v>36</v>
      </c>
      <c r="B858">
        <v>8</v>
      </c>
      <c r="C858" s="1" t="s">
        <v>43</v>
      </c>
      <c r="D858">
        <v>1</v>
      </c>
      <c r="E858">
        <v>0.66600000000000004</v>
      </c>
      <c r="F858">
        <v>7.72</v>
      </c>
      <c r="G858">
        <v>1.6180000000000001</v>
      </c>
      <c r="L858">
        <v>7.0000000000000007E-2</v>
      </c>
      <c r="O858">
        <v>9</v>
      </c>
    </row>
    <row r="859" spans="1:15" x14ac:dyDescent="0.2">
      <c r="A859" t="s">
        <v>36</v>
      </c>
      <c r="B859">
        <v>8</v>
      </c>
      <c r="C859" s="1" t="s">
        <v>43</v>
      </c>
      <c r="D859">
        <v>2</v>
      </c>
      <c r="E859">
        <v>0.90900000000000003</v>
      </c>
      <c r="F859">
        <v>8</v>
      </c>
      <c r="G859">
        <v>1.4410000000000001</v>
      </c>
      <c r="L859">
        <v>7.0000000000000007E-2</v>
      </c>
      <c r="O859">
        <v>9</v>
      </c>
    </row>
    <row r="860" spans="1:15" x14ac:dyDescent="0.2">
      <c r="A860" t="s">
        <v>36</v>
      </c>
      <c r="B860">
        <v>8</v>
      </c>
      <c r="C860" s="1" t="s">
        <v>43</v>
      </c>
      <c r="D860">
        <v>3</v>
      </c>
      <c r="E860">
        <v>0.42499999999999999</v>
      </c>
      <c r="F860">
        <v>6.81</v>
      </c>
      <c r="G860">
        <v>1.54</v>
      </c>
      <c r="L860">
        <v>7.0000000000000007E-2</v>
      </c>
      <c r="O860">
        <v>9</v>
      </c>
    </row>
    <row r="861" spans="1:15" x14ac:dyDescent="0.2">
      <c r="A861" t="s">
        <v>36</v>
      </c>
      <c r="B861">
        <v>8</v>
      </c>
      <c r="C861" s="1" t="s">
        <v>43</v>
      </c>
      <c r="D861">
        <v>4</v>
      </c>
      <c r="E861">
        <v>0.72</v>
      </c>
      <c r="F861">
        <v>8.2899999999999991</v>
      </c>
      <c r="G861">
        <v>0.98</v>
      </c>
      <c r="L861">
        <v>7.0000000000000007E-2</v>
      </c>
      <c r="O861">
        <v>9</v>
      </c>
    </row>
    <row r="862" spans="1:15" x14ac:dyDescent="0.2">
      <c r="A862" t="s">
        <v>36</v>
      </c>
      <c r="B862">
        <v>8</v>
      </c>
      <c r="C862" s="1" t="s">
        <v>43</v>
      </c>
      <c r="D862">
        <v>5</v>
      </c>
      <c r="E862">
        <v>0.56999999999999995</v>
      </c>
      <c r="F862">
        <v>11.92</v>
      </c>
      <c r="G862">
        <v>2.5379999999999998</v>
      </c>
      <c r="L862">
        <v>7.0000000000000007E-2</v>
      </c>
      <c r="O862">
        <v>9</v>
      </c>
    </row>
    <row r="863" spans="1:15" x14ac:dyDescent="0.2">
      <c r="A863" t="s">
        <v>36</v>
      </c>
      <c r="B863">
        <v>8</v>
      </c>
      <c r="C863" s="1" t="s">
        <v>43</v>
      </c>
      <c r="D863">
        <v>6</v>
      </c>
      <c r="E863">
        <v>0.82199999999999995</v>
      </c>
      <c r="F863">
        <v>6.26</v>
      </c>
      <c r="G863">
        <v>2.3820000000000001</v>
      </c>
      <c r="L863">
        <v>7.0000000000000007E-2</v>
      </c>
      <c r="O863">
        <v>9</v>
      </c>
    </row>
    <row r="864" spans="1:15" x14ac:dyDescent="0.2">
      <c r="A864" t="s">
        <v>36</v>
      </c>
      <c r="B864">
        <v>8</v>
      </c>
      <c r="C864" s="1" t="s">
        <v>43</v>
      </c>
      <c r="D864">
        <v>7</v>
      </c>
      <c r="E864">
        <v>1.548</v>
      </c>
      <c r="F864">
        <v>11.2</v>
      </c>
      <c r="G864">
        <v>2.3580000000000001</v>
      </c>
      <c r="L864">
        <v>7.0000000000000007E-2</v>
      </c>
      <c r="O864">
        <v>9</v>
      </c>
    </row>
    <row r="865" spans="1:15" x14ac:dyDescent="0.2">
      <c r="A865" t="s">
        <v>36</v>
      </c>
      <c r="B865">
        <v>8</v>
      </c>
      <c r="C865" s="1" t="s">
        <v>43</v>
      </c>
      <c r="D865">
        <v>8</v>
      </c>
      <c r="E865">
        <v>0.88100000000000001</v>
      </c>
      <c r="F865">
        <v>9.2200000000000006</v>
      </c>
      <c r="G865">
        <v>1.258</v>
      </c>
      <c r="L865">
        <v>7.0000000000000007E-2</v>
      </c>
      <c r="O865">
        <v>9</v>
      </c>
    </row>
    <row r="866" spans="1:15" x14ac:dyDescent="0.2">
      <c r="A866" t="s">
        <v>36</v>
      </c>
      <c r="B866">
        <v>8</v>
      </c>
      <c r="C866" s="1" t="s">
        <v>43</v>
      </c>
      <c r="D866">
        <v>9</v>
      </c>
      <c r="E866">
        <v>0.89800000000000002</v>
      </c>
      <c r="F866">
        <v>5.57</v>
      </c>
      <c r="G866">
        <v>2.4769999999999999</v>
      </c>
      <c r="L866">
        <v>7.0000000000000007E-2</v>
      </c>
      <c r="O866">
        <v>9</v>
      </c>
    </row>
    <row r="867" spans="1:15" x14ac:dyDescent="0.2">
      <c r="A867" t="s">
        <v>36</v>
      </c>
      <c r="B867">
        <v>8</v>
      </c>
      <c r="C867" s="1" t="s">
        <v>44</v>
      </c>
      <c r="D867">
        <v>1</v>
      </c>
      <c r="E867">
        <v>3.46</v>
      </c>
      <c r="F867">
        <v>10.6</v>
      </c>
      <c r="G867">
        <v>0.84499999999999997</v>
      </c>
      <c r="L867">
        <v>7.0000000000000007E-2</v>
      </c>
      <c r="O867">
        <v>1</v>
      </c>
    </row>
    <row r="868" spans="1:15" x14ac:dyDescent="0.2">
      <c r="A868" t="s">
        <v>36</v>
      </c>
      <c r="B868">
        <v>8</v>
      </c>
      <c r="C868" s="1" t="s">
        <v>44</v>
      </c>
      <c r="D868">
        <v>2</v>
      </c>
      <c r="E868">
        <v>5.859</v>
      </c>
      <c r="F868">
        <v>10.16</v>
      </c>
      <c r="G868">
        <v>0.32800000000000001</v>
      </c>
      <c r="L868">
        <v>7.0000000000000007E-2</v>
      </c>
      <c r="O868">
        <v>1</v>
      </c>
    </row>
    <row r="869" spans="1:15" x14ac:dyDescent="0.2">
      <c r="A869" t="s">
        <v>36</v>
      </c>
      <c r="B869">
        <v>8</v>
      </c>
      <c r="C869" s="1" t="s">
        <v>44</v>
      </c>
      <c r="D869">
        <v>3</v>
      </c>
      <c r="E869">
        <v>3.8439999999999999</v>
      </c>
      <c r="F869">
        <v>12.17</v>
      </c>
      <c r="G869">
        <v>0.42599999999999999</v>
      </c>
      <c r="L869">
        <v>7.0000000000000007E-2</v>
      </c>
      <c r="O869">
        <v>1</v>
      </c>
    </row>
    <row r="870" spans="1:15" x14ac:dyDescent="0.2">
      <c r="A870" t="s">
        <v>36</v>
      </c>
      <c r="B870">
        <v>8</v>
      </c>
      <c r="C870" s="1" t="s">
        <v>44</v>
      </c>
      <c r="D870">
        <v>4</v>
      </c>
      <c r="E870">
        <v>4.484</v>
      </c>
      <c r="F870">
        <v>13.74</v>
      </c>
      <c r="G870">
        <v>0.38500000000000001</v>
      </c>
      <c r="L870">
        <v>7.0000000000000007E-2</v>
      </c>
      <c r="O870">
        <v>1</v>
      </c>
    </row>
    <row r="871" spans="1:15" x14ac:dyDescent="0.2">
      <c r="A871" t="s">
        <v>36</v>
      </c>
      <c r="B871">
        <v>8</v>
      </c>
      <c r="C871" s="1" t="s">
        <v>44</v>
      </c>
      <c r="D871">
        <v>5</v>
      </c>
      <c r="E871">
        <v>2.6850000000000001</v>
      </c>
      <c r="F871">
        <v>14.18</v>
      </c>
      <c r="G871">
        <v>0.35</v>
      </c>
      <c r="L871">
        <v>7.0000000000000007E-2</v>
      </c>
      <c r="O871">
        <v>1</v>
      </c>
    </row>
    <row r="872" spans="1:15" x14ac:dyDescent="0.2">
      <c r="A872" t="s">
        <v>36</v>
      </c>
      <c r="B872">
        <v>8</v>
      </c>
      <c r="C872" s="1" t="s">
        <v>44</v>
      </c>
      <c r="D872">
        <v>6</v>
      </c>
      <c r="E872">
        <v>3.3010000000000002</v>
      </c>
      <c r="F872">
        <v>20.04</v>
      </c>
      <c r="G872">
        <v>0.47599999999999998</v>
      </c>
      <c r="L872">
        <v>7.0000000000000007E-2</v>
      </c>
      <c r="O872">
        <v>1</v>
      </c>
    </row>
    <row r="873" spans="1:15" x14ac:dyDescent="0.2">
      <c r="A873" t="s">
        <v>36</v>
      </c>
      <c r="B873">
        <v>8</v>
      </c>
      <c r="C873" s="1" t="s">
        <v>44</v>
      </c>
      <c r="D873">
        <v>7</v>
      </c>
      <c r="E873">
        <v>3.851</v>
      </c>
      <c r="F873">
        <v>18.46</v>
      </c>
      <c r="G873">
        <v>0.25800000000000001</v>
      </c>
      <c r="L873">
        <v>7.0000000000000007E-2</v>
      </c>
      <c r="O873">
        <v>1</v>
      </c>
    </row>
    <row r="874" spans="1:15" x14ac:dyDescent="0.2">
      <c r="A874" t="s">
        <v>36</v>
      </c>
      <c r="B874">
        <v>8</v>
      </c>
      <c r="C874" s="1" t="s">
        <v>44</v>
      </c>
      <c r="D874">
        <v>8</v>
      </c>
      <c r="E874">
        <v>2.4209999999999998</v>
      </c>
      <c r="F874">
        <v>14.89</v>
      </c>
      <c r="G874">
        <v>0.39500000000000002</v>
      </c>
      <c r="L874">
        <v>7.0000000000000007E-2</v>
      </c>
      <c r="O874">
        <v>1</v>
      </c>
    </row>
    <row r="875" spans="1:15" x14ac:dyDescent="0.2">
      <c r="A875" t="s">
        <v>36</v>
      </c>
      <c r="B875">
        <v>8</v>
      </c>
      <c r="C875" s="1" t="s">
        <v>44</v>
      </c>
      <c r="D875">
        <v>9</v>
      </c>
      <c r="E875">
        <v>3.2069999999999999</v>
      </c>
      <c r="F875">
        <v>12.62</v>
      </c>
      <c r="G875">
        <v>0.41799999999999998</v>
      </c>
      <c r="L875">
        <v>7.0000000000000007E-2</v>
      </c>
      <c r="O875">
        <v>1</v>
      </c>
    </row>
    <row r="876" spans="1:15" x14ac:dyDescent="0.2">
      <c r="A876" t="s">
        <v>36</v>
      </c>
      <c r="B876">
        <v>8</v>
      </c>
      <c r="C876" s="1" t="s">
        <v>45</v>
      </c>
      <c r="D876">
        <v>1</v>
      </c>
      <c r="E876">
        <v>0.73699999999999999</v>
      </c>
      <c r="F876">
        <v>36.36</v>
      </c>
      <c r="G876">
        <v>1.367</v>
      </c>
      <c r="L876">
        <v>7.0000000000000007E-2</v>
      </c>
      <c r="O876">
        <v>45</v>
      </c>
    </row>
    <row r="877" spans="1:15" x14ac:dyDescent="0.2">
      <c r="A877" t="s">
        <v>36</v>
      </c>
      <c r="B877">
        <v>8</v>
      </c>
      <c r="C877" s="1" t="s">
        <v>45</v>
      </c>
      <c r="D877">
        <v>2</v>
      </c>
      <c r="E877">
        <v>0.60199999999999998</v>
      </c>
      <c r="F877">
        <v>38.200000000000003</v>
      </c>
      <c r="G877">
        <v>1.8540000000000001</v>
      </c>
      <c r="L877">
        <v>7.0000000000000007E-2</v>
      </c>
      <c r="O877">
        <v>45</v>
      </c>
    </row>
    <row r="878" spans="1:15" x14ac:dyDescent="0.2">
      <c r="A878" t="s">
        <v>36</v>
      </c>
      <c r="B878">
        <v>8</v>
      </c>
      <c r="C878" s="1" t="s">
        <v>45</v>
      </c>
      <c r="D878">
        <v>3</v>
      </c>
      <c r="E878">
        <v>0.68300000000000005</v>
      </c>
      <c r="F878">
        <v>36.020000000000003</v>
      </c>
      <c r="G878">
        <v>1.2170000000000001</v>
      </c>
      <c r="L878">
        <v>7.0000000000000007E-2</v>
      </c>
      <c r="O878">
        <v>45</v>
      </c>
    </row>
    <row r="879" spans="1:15" x14ac:dyDescent="0.2">
      <c r="A879" t="s">
        <v>36</v>
      </c>
      <c r="B879">
        <v>8</v>
      </c>
      <c r="C879" s="1" t="s">
        <v>45</v>
      </c>
      <c r="D879">
        <v>4</v>
      </c>
      <c r="E879">
        <v>0.48599999999999999</v>
      </c>
      <c r="F879">
        <v>41.74</v>
      </c>
      <c r="G879">
        <v>1.077</v>
      </c>
      <c r="L879">
        <v>7.0000000000000007E-2</v>
      </c>
      <c r="O879">
        <v>45</v>
      </c>
    </row>
    <row r="880" spans="1:15" x14ac:dyDescent="0.2">
      <c r="A880" t="s">
        <v>36</v>
      </c>
      <c r="B880">
        <v>8</v>
      </c>
      <c r="C880" s="1" t="s">
        <v>45</v>
      </c>
      <c r="D880">
        <v>5</v>
      </c>
      <c r="E880">
        <v>0.72699999999999998</v>
      </c>
      <c r="F880">
        <v>28.79</v>
      </c>
      <c r="G880">
        <v>1.339</v>
      </c>
      <c r="L880">
        <v>7.0000000000000007E-2</v>
      </c>
      <c r="O880">
        <v>45</v>
      </c>
    </row>
    <row r="881" spans="1:15" x14ac:dyDescent="0.2">
      <c r="A881" t="s">
        <v>36</v>
      </c>
      <c r="B881">
        <v>8</v>
      </c>
      <c r="C881" s="1" t="s">
        <v>45</v>
      </c>
      <c r="D881">
        <v>6</v>
      </c>
      <c r="E881">
        <v>0.83399999999999996</v>
      </c>
      <c r="F881">
        <v>30.56</v>
      </c>
      <c r="G881">
        <v>1.2450000000000001</v>
      </c>
      <c r="L881">
        <v>7.0000000000000007E-2</v>
      </c>
      <c r="O881">
        <v>45</v>
      </c>
    </row>
    <row r="882" spans="1:15" x14ac:dyDescent="0.2">
      <c r="A882" t="s">
        <v>36</v>
      </c>
      <c r="B882">
        <v>8</v>
      </c>
      <c r="C882" s="1" t="s">
        <v>45</v>
      </c>
      <c r="D882">
        <v>7</v>
      </c>
      <c r="E882">
        <v>0.44800000000000001</v>
      </c>
      <c r="F882">
        <v>27.09</v>
      </c>
      <c r="G882">
        <v>0.91200000000000003</v>
      </c>
      <c r="L882">
        <v>7.0000000000000007E-2</v>
      </c>
      <c r="O882">
        <v>45</v>
      </c>
    </row>
    <row r="883" spans="1:15" x14ac:dyDescent="0.2">
      <c r="A883" t="s">
        <v>36</v>
      </c>
      <c r="B883">
        <v>8</v>
      </c>
      <c r="C883" s="1" t="s">
        <v>45</v>
      </c>
      <c r="D883">
        <v>8</v>
      </c>
      <c r="E883">
        <v>0.73199999999999998</v>
      </c>
      <c r="F883">
        <v>50.62</v>
      </c>
      <c r="G883">
        <v>1.1299999999999999</v>
      </c>
      <c r="L883">
        <v>7.0000000000000007E-2</v>
      </c>
      <c r="O883">
        <v>45</v>
      </c>
    </row>
    <row r="884" spans="1:15" x14ac:dyDescent="0.2">
      <c r="A884" t="s">
        <v>36</v>
      </c>
      <c r="B884">
        <v>8</v>
      </c>
      <c r="C884" s="1" t="s">
        <v>45</v>
      </c>
      <c r="D884">
        <v>9</v>
      </c>
      <c r="E884">
        <v>0.79400000000000004</v>
      </c>
      <c r="F884">
        <v>28.15</v>
      </c>
      <c r="G884">
        <v>1.0669999999999999</v>
      </c>
      <c r="L884">
        <v>7.0000000000000007E-2</v>
      </c>
      <c r="O884">
        <v>45</v>
      </c>
    </row>
    <row r="885" spans="1:15" x14ac:dyDescent="0.2">
      <c r="A885" t="s">
        <v>36</v>
      </c>
      <c r="B885">
        <v>8</v>
      </c>
      <c r="C885" s="1" t="s">
        <v>46</v>
      </c>
      <c r="D885">
        <v>1</v>
      </c>
      <c r="E885">
        <v>0.41699999999999998</v>
      </c>
      <c r="F885">
        <v>58.97</v>
      </c>
      <c r="G885">
        <v>0.24399999999999999</v>
      </c>
      <c r="L885">
        <v>7.0000000000000007E-2</v>
      </c>
      <c r="O885">
        <v>2</v>
      </c>
    </row>
    <row r="886" spans="1:15" x14ac:dyDescent="0.2">
      <c r="A886" t="s">
        <v>36</v>
      </c>
      <c r="B886">
        <v>8</v>
      </c>
      <c r="C886" s="1" t="s">
        <v>46</v>
      </c>
      <c r="D886">
        <v>2</v>
      </c>
      <c r="E886">
        <v>0.34399999999999997</v>
      </c>
      <c r="F886">
        <v>70.53</v>
      </c>
      <c r="G886">
        <v>0.34799999999999998</v>
      </c>
      <c r="L886">
        <v>7.0000000000000007E-2</v>
      </c>
      <c r="O886">
        <v>2</v>
      </c>
    </row>
    <row r="887" spans="1:15" x14ac:dyDescent="0.2">
      <c r="A887" t="s">
        <v>36</v>
      </c>
      <c r="B887">
        <v>8</v>
      </c>
      <c r="C887" s="1" t="s">
        <v>46</v>
      </c>
      <c r="D887">
        <v>3</v>
      </c>
      <c r="E887">
        <v>0.35599999999999998</v>
      </c>
      <c r="F887">
        <v>74.03</v>
      </c>
      <c r="G887">
        <v>0.30399999999999999</v>
      </c>
      <c r="L887">
        <v>7.0000000000000007E-2</v>
      </c>
      <c r="O887">
        <v>2</v>
      </c>
    </row>
    <row r="888" spans="1:15" x14ac:dyDescent="0.2">
      <c r="A888" t="s">
        <v>36</v>
      </c>
      <c r="B888">
        <v>8</v>
      </c>
      <c r="C888" s="1" t="s">
        <v>46</v>
      </c>
      <c r="D888">
        <v>4</v>
      </c>
      <c r="E888">
        <v>0.56499999999999995</v>
      </c>
      <c r="F888">
        <v>73.900000000000006</v>
      </c>
      <c r="G888">
        <v>0.32400000000000001</v>
      </c>
      <c r="L888">
        <v>7.0000000000000007E-2</v>
      </c>
      <c r="O888">
        <v>2</v>
      </c>
    </row>
    <row r="889" spans="1:15" x14ac:dyDescent="0.2">
      <c r="A889" t="s">
        <v>36</v>
      </c>
      <c r="B889">
        <v>8</v>
      </c>
      <c r="C889" s="1" t="s">
        <v>46</v>
      </c>
      <c r="D889">
        <v>5</v>
      </c>
      <c r="E889">
        <v>0.38800000000000001</v>
      </c>
      <c r="F889">
        <v>54.97</v>
      </c>
      <c r="G889">
        <v>0.38300000000000001</v>
      </c>
      <c r="L889">
        <v>7.0000000000000007E-2</v>
      </c>
      <c r="O889">
        <v>2</v>
      </c>
    </row>
    <row r="890" spans="1:15" x14ac:dyDescent="0.2">
      <c r="A890" t="s">
        <v>36</v>
      </c>
      <c r="B890">
        <v>8</v>
      </c>
      <c r="C890" s="1" t="s">
        <v>46</v>
      </c>
      <c r="D890">
        <v>6</v>
      </c>
      <c r="E890">
        <v>0.36199999999999999</v>
      </c>
      <c r="F890">
        <v>48.78</v>
      </c>
      <c r="G890">
        <v>0.19500000000000001</v>
      </c>
      <c r="L890">
        <v>7.0000000000000007E-2</v>
      </c>
      <c r="O890">
        <v>2</v>
      </c>
    </row>
    <row r="891" spans="1:15" x14ac:dyDescent="0.2">
      <c r="A891" t="s">
        <v>36</v>
      </c>
      <c r="B891">
        <v>8</v>
      </c>
      <c r="C891" s="1" t="s">
        <v>46</v>
      </c>
      <c r="D891">
        <v>7</v>
      </c>
      <c r="E891">
        <v>0.35</v>
      </c>
      <c r="F891">
        <v>72.239999999999995</v>
      </c>
      <c r="G891">
        <v>0.23799999999999999</v>
      </c>
      <c r="L891">
        <v>7.0000000000000007E-2</v>
      </c>
      <c r="O891">
        <v>2</v>
      </c>
    </row>
    <row r="892" spans="1:15" x14ac:dyDescent="0.2">
      <c r="A892" t="s">
        <v>36</v>
      </c>
      <c r="B892">
        <v>8</v>
      </c>
      <c r="C892" s="1" t="s">
        <v>46</v>
      </c>
      <c r="D892">
        <v>8</v>
      </c>
      <c r="E892">
        <v>0.36499999999999999</v>
      </c>
      <c r="F892">
        <v>55.25</v>
      </c>
      <c r="G892">
        <v>0.27200000000000002</v>
      </c>
      <c r="L892">
        <v>7.0000000000000007E-2</v>
      </c>
      <c r="O892">
        <v>2</v>
      </c>
    </row>
    <row r="893" spans="1:15" x14ac:dyDescent="0.2">
      <c r="A893" t="s">
        <v>36</v>
      </c>
      <c r="B893">
        <v>8</v>
      </c>
      <c r="C893" s="1" t="s">
        <v>46</v>
      </c>
      <c r="D893">
        <v>9</v>
      </c>
      <c r="E893">
        <v>0.4</v>
      </c>
      <c r="F893">
        <v>58.87</v>
      </c>
      <c r="G893">
        <v>0.253</v>
      </c>
      <c r="L893">
        <v>7.0000000000000007E-2</v>
      </c>
      <c r="O893">
        <v>2</v>
      </c>
    </row>
    <row r="894" spans="1:15" x14ac:dyDescent="0.2">
      <c r="A894" t="s">
        <v>36</v>
      </c>
      <c r="B894">
        <v>8</v>
      </c>
      <c r="C894" s="1" t="s">
        <v>51</v>
      </c>
      <c r="D894">
        <v>1</v>
      </c>
      <c r="E894">
        <v>0.38100000000000001</v>
      </c>
      <c r="F894">
        <v>60.53</v>
      </c>
      <c r="G894">
        <v>0.40899999999999997</v>
      </c>
      <c r="L894">
        <v>7.0000000000000007E-2</v>
      </c>
      <c r="O894">
        <v>4</v>
      </c>
    </row>
    <row r="895" spans="1:15" x14ac:dyDescent="0.2">
      <c r="A895" t="s">
        <v>36</v>
      </c>
      <c r="B895">
        <v>8</v>
      </c>
      <c r="C895" s="1" t="s">
        <v>51</v>
      </c>
      <c r="D895">
        <v>2</v>
      </c>
      <c r="E895">
        <v>0.39900000000000002</v>
      </c>
      <c r="F895">
        <v>59.73</v>
      </c>
      <c r="G895">
        <v>0.28599999999999998</v>
      </c>
      <c r="L895">
        <v>7.0000000000000007E-2</v>
      </c>
      <c r="O895">
        <v>4</v>
      </c>
    </row>
    <row r="896" spans="1:15" x14ac:dyDescent="0.2">
      <c r="A896" t="s">
        <v>36</v>
      </c>
      <c r="B896">
        <v>8</v>
      </c>
      <c r="C896" s="1" t="s">
        <v>51</v>
      </c>
      <c r="D896">
        <v>3</v>
      </c>
      <c r="E896">
        <v>0.36599999999999999</v>
      </c>
      <c r="F896">
        <v>69.86</v>
      </c>
      <c r="G896">
        <v>0.29899999999999999</v>
      </c>
      <c r="L896">
        <v>7.0000000000000007E-2</v>
      </c>
      <c r="O896">
        <v>4</v>
      </c>
    </row>
    <row r="897" spans="1:15" x14ac:dyDescent="0.2">
      <c r="A897" t="s">
        <v>36</v>
      </c>
      <c r="B897">
        <v>8</v>
      </c>
      <c r="C897" s="1" t="s">
        <v>51</v>
      </c>
      <c r="D897">
        <v>4</v>
      </c>
      <c r="E897">
        <v>0.47399999999999998</v>
      </c>
      <c r="F897">
        <v>48.51</v>
      </c>
      <c r="G897">
        <v>0.28100000000000003</v>
      </c>
      <c r="L897">
        <v>7.0000000000000007E-2</v>
      </c>
      <c r="O897">
        <v>4</v>
      </c>
    </row>
    <row r="898" spans="1:15" x14ac:dyDescent="0.2">
      <c r="A898" t="s">
        <v>36</v>
      </c>
      <c r="B898">
        <v>8</v>
      </c>
      <c r="C898" s="1" t="s">
        <v>51</v>
      </c>
      <c r="D898">
        <v>5</v>
      </c>
      <c r="E898">
        <v>0.39700000000000002</v>
      </c>
      <c r="F898">
        <v>53.24</v>
      </c>
      <c r="G898">
        <v>0.20699999999999999</v>
      </c>
      <c r="L898">
        <v>7.0000000000000007E-2</v>
      </c>
      <c r="O898">
        <v>4</v>
      </c>
    </row>
    <row r="899" spans="1:15" x14ac:dyDescent="0.2">
      <c r="A899" t="s">
        <v>36</v>
      </c>
      <c r="B899">
        <v>8</v>
      </c>
      <c r="C899" s="1" t="s">
        <v>51</v>
      </c>
      <c r="D899">
        <v>6</v>
      </c>
      <c r="E899">
        <v>0.32500000000000001</v>
      </c>
      <c r="F899">
        <v>63.2</v>
      </c>
      <c r="G899">
        <v>0.311</v>
      </c>
      <c r="L899">
        <v>7.0000000000000007E-2</v>
      </c>
      <c r="O899">
        <v>4</v>
      </c>
    </row>
    <row r="900" spans="1:15" x14ac:dyDescent="0.2">
      <c r="A900" t="s">
        <v>36</v>
      </c>
      <c r="B900">
        <v>8</v>
      </c>
      <c r="C900" s="1" t="s">
        <v>51</v>
      </c>
      <c r="D900">
        <v>7</v>
      </c>
      <c r="E900">
        <v>0.36299999999999999</v>
      </c>
      <c r="F900">
        <v>79.88</v>
      </c>
      <c r="G900">
        <v>0.27600000000000002</v>
      </c>
      <c r="L900">
        <v>7.0000000000000007E-2</v>
      </c>
      <c r="O900">
        <v>4</v>
      </c>
    </row>
    <row r="901" spans="1:15" x14ac:dyDescent="0.2">
      <c r="A901" t="s">
        <v>36</v>
      </c>
      <c r="B901">
        <v>8</v>
      </c>
      <c r="C901" s="1" t="s">
        <v>51</v>
      </c>
      <c r="D901">
        <v>8</v>
      </c>
      <c r="E901">
        <v>0.40300000000000002</v>
      </c>
      <c r="F901">
        <v>70.61</v>
      </c>
      <c r="G901">
        <v>0.23699999999999999</v>
      </c>
      <c r="L901">
        <v>7.0000000000000007E-2</v>
      </c>
      <c r="O901">
        <v>4</v>
      </c>
    </row>
    <row r="902" spans="1:15" x14ac:dyDescent="0.2">
      <c r="A902" t="s">
        <v>36</v>
      </c>
      <c r="B902">
        <v>8</v>
      </c>
      <c r="C902" s="1" t="s">
        <v>51</v>
      </c>
      <c r="D902">
        <v>9</v>
      </c>
      <c r="E902">
        <v>0.41699999999999998</v>
      </c>
      <c r="F902">
        <v>61.65</v>
      </c>
      <c r="G902">
        <v>0.248</v>
      </c>
      <c r="L902">
        <v>7.0000000000000007E-2</v>
      </c>
      <c r="O902">
        <v>4</v>
      </c>
    </row>
    <row r="903" spans="1:15" x14ac:dyDescent="0.2">
      <c r="A903" t="s">
        <v>36</v>
      </c>
      <c r="B903">
        <v>8</v>
      </c>
      <c r="C903" s="1" t="s">
        <v>49</v>
      </c>
      <c r="D903">
        <v>1</v>
      </c>
      <c r="E903">
        <v>0.33200000000000002</v>
      </c>
      <c r="F903">
        <v>62.46</v>
      </c>
      <c r="G903">
        <v>0.221</v>
      </c>
      <c r="L903">
        <v>7.0000000000000007E-2</v>
      </c>
      <c r="O903">
        <v>4</v>
      </c>
    </row>
    <row r="904" spans="1:15" x14ac:dyDescent="0.2">
      <c r="A904" t="s">
        <v>36</v>
      </c>
      <c r="B904">
        <v>8</v>
      </c>
      <c r="C904" s="1" t="s">
        <v>49</v>
      </c>
      <c r="D904">
        <v>2</v>
      </c>
      <c r="E904">
        <v>0.43099999999999999</v>
      </c>
      <c r="F904">
        <v>53.05</v>
      </c>
      <c r="G904">
        <v>0.189</v>
      </c>
      <c r="L904">
        <v>7.0000000000000007E-2</v>
      </c>
      <c r="O904">
        <v>4</v>
      </c>
    </row>
    <row r="905" spans="1:15" x14ac:dyDescent="0.2">
      <c r="A905" t="s">
        <v>36</v>
      </c>
      <c r="B905">
        <v>8</v>
      </c>
      <c r="C905" s="1" t="s">
        <v>49</v>
      </c>
      <c r="D905">
        <v>3</v>
      </c>
      <c r="E905">
        <v>0.33700000000000002</v>
      </c>
      <c r="F905">
        <v>46.28</v>
      </c>
      <c r="G905">
        <v>0.29599999999999999</v>
      </c>
      <c r="L905">
        <v>7.0000000000000007E-2</v>
      </c>
      <c r="O905">
        <v>4</v>
      </c>
    </row>
    <row r="906" spans="1:15" x14ac:dyDescent="0.2">
      <c r="A906" t="s">
        <v>36</v>
      </c>
      <c r="B906">
        <v>8</v>
      </c>
      <c r="C906" s="1" t="s">
        <v>49</v>
      </c>
      <c r="D906">
        <v>4</v>
      </c>
      <c r="E906">
        <v>0.41199999999999998</v>
      </c>
      <c r="F906">
        <v>54.81</v>
      </c>
      <c r="G906">
        <v>0.40100000000000002</v>
      </c>
      <c r="L906">
        <v>7.0000000000000007E-2</v>
      </c>
      <c r="O906">
        <v>4</v>
      </c>
    </row>
    <row r="907" spans="1:15" x14ac:dyDescent="0.2">
      <c r="A907" t="s">
        <v>36</v>
      </c>
      <c r="B907">
        <v>8</v>
      </c>
      <c r="C907" s="1" t="s">
        <v>49</v>
      </c>
      <c r="D907">
        <v>5</v>
      </c>
      <c r="E907">
        <v>0.39900000000000002</v>
      </c>
      <c r="F907">
        <v>46.62</v>
      </c>
      <c r="G907">
        <v>0.38800000000000001</v>
      </c>
      <c r="L907">
        <v>7.0000000000000007E-2</v>
      </c>
      <c r="O907">
        <v>4</v>
      </c>
    </row>
    <row r="908" spans="1:15" x14ac:dyDescent="0.2">
      <c r="A908" t="s">
        <v>36</v>
      </c>
      <c r="B908">
        <v>8</v>
      </c>
      <c r="C908" s="1" t="s">
        <v>49</v>
      </c>
      <c r="D908">
        <v>6</v>
      </c>
      <c r="E908">
        <v>0.38</v>
      </c>
      <c r="F908">
        <v>94.02</v>
      </c>
      <c r="G908">
        <v>0.254</v>
      </c>
      <c r="L908">
        <v>7.0000000000000007E-2</v>
      </c>
      <c r="O908">
        <v>4</v>
      </c>
    </row>
    <row r="909" spans="1:15" x14ac:dyDescent="0.2">
      <c r="A909" t="s">
        <v>36</v>
      </c>
      <c r="B909">
        <v>8</v>
      </c>
      <c r="C909" s="1" t="s">
        <v>49</v>
      </c>
      <c r="D909">
        <v>7</v>
      </c>
      <c r="E909">
        <v>0.36199999999999999</v>
      </c>
      <c r="F909">
        <v>106.23</v>
      </c>
      <c r="G909">
        <v>0.27700000000000002</v>
      </c>
      <c r="L909">
        <v>7.0000000000000007E-2</v>
      </c>
      <c r="O909">
        <v>4</v>
      </c>
    </row>
    <row r="910" spans="1:15" x14ac:dyDescent="0.2">
      <c r="A910" t="s">
        <v>36</v>
      </c>
      <c r="B910">
        <v>8</v>
      </c>
      <c r="C910" s="1" t="s">
        <v>49</v>
      </c>
      <c r="D910">
        <v>8</v>
      </c>
      <c r="E910">
        <v>0.46200000000000002</v>
      </c>
      <c r="F910">
        <v>70.760000000000005</v>
      </c>
      <c r="G910">
        <v>0.23799999999999999</v>
      </c>
      <c r="L910">
        <v>7.0000000000000007E-2</v>
      </c>
      <c r="O910">
        <v>4</v>
      </c>
    </row>
    <row r="911" spans="1:15" x14ac:dyDescent="0.2">
      <c r="A911" t="s">
        <v>36</v>
      </c>
      <c r="B911">
        <v>8</v>
      </c>
      <c r="C911" s="1" t="s">
        <v>49</v>
      </c>
      <c r="D911">
        <v>9</v>
      </c>
      <c r="E911">
        <v>0.41099999999999998</v>
      </c>
      <c r="F911">
        <v>51.75</v>
      </c>
      <c r="G911">
        <v>0.316</v>
      </c>
      <c r="L911">
        <v>7.0000000000000007E-2</v>
      </c>
      <c r="O911">
        <v>4</v>
      </c>
    </row>
    <row r="912" spans="1:15" x14ac:dyDescent="0.2">
      <c r="A912" t="s">
        <v>36</v>
      </c>
      <c r="B912">
        <v>8</v>
      </c>
      <c r="C912" s="1" t="s">
        <v>52</v>
      </c>
      <c r="D912">
        <v>1</v>
      </c>
      <c r="E912">
        <v>0.36199999999999999</v>
      </c>
      <c r="F912">
        <v>63.48</v>
      </c>
      <c r="G912">
        <v>0.30599999999999999</v>
      </c>
      <c r="L912">
        <v>7.0000000000000007E-2</v>
      </c>
      <c r="O912">
        <v>3</v>
      </c>
    </row>
    <row r="913" spans="1:15" x14ac:dyDescent="0.2">
      <c r="A913" t="s">
        <v>36</v>
      </c>
      <c r="B913">
        <v>8</v>
      </c>
      <c r="C913" s="1" t="s">
        <v>52</v>
      </c>
      <c r="D913">
        <v>2</v>
      </c>
      <c r="E913">
        <v>0.45500000000000002</v>
      </c>
      <c r="F913">
        <v>53.01</v>
      </c>
      <c r="G913">
        <v>0.26200000000000001</v>
      </c>
      <c r="L913">
        <v>7.0000000000000007E-2</v>
      </c>
      <c r="O913">
        <v>3</v>
      </c>
    </row>
    <row r="914" spans="1:15" x14ac:dyDescent="0.2">
      <c r="A914" t="s">
        <v>36</v>
      </c>
      <c r="B914">
        <v>8</v>
      </c>
      <c r="C914" s="1" t="s">
        <v>52</v>
      </c>
      <c r="D914">
        <v>3</v>
      </c>
      <c r="E914">
        <v>0.35599999999999998</v>
      </c>
      <c r="F914">
        <v>72.790000000000006</v>
      </c>
      <c r="G914">
        <v>0.25900000000000001</v>
      </c>
      <c r="L914">
        <v>7.0000000000000007E-2</v>
      </c>
      <c r="O914">
        <v>3</v>
      </c>
    </row>
    <row r="915" spans="1:15" x14ac:dyDescent="0.2">
      <c r="A915" t="s">
        <v>36</v>
      </c>
      <c r="B915">
        <v>8</v>
      </c>
      <c r="C915" s="1" t="s">
        <v>52</v>
      </c>
      <c r="D915">
        <v>4</v>
      </c>
      <c r="E915">
        <v>0.44600000000000001</v>
      </c>
      <c r="F915">
        <v>55.44</v>
      </c>
      <c r="G915">
        <v>0.22900000000000001</v>
      </c>
      <c r="L915">
        <v>7.0000000000000007E-2</v>
      </c>
      <c r="O915">
        <v>3</v>
      </c>
    </row>
    <row r="916" spans="1:15" x14ac:dyDescent="0.2">
      <c r="A916" t="s">
        <v>36</v>
      </c>
      <c r="B916">
        <v>8</v>
      </c>
      <c r="C916" s="1" t="s">
        <v>52</v>
      </c>
      <c r="D916">
        <v>5</v>
      </c>
      <c r="E916">
        <v>0.35399999999999998</v>
      </c>
      <c r="F916">
        <v>53.51</v>
      </c>
      <c r="G916">
        <v>0.19700000000000001</v>
      </c>
      <c r="L916">
        <v>7.0000000000000007E-2</v>
      </c>
      <c r="O916">
        <v>3</v>
      </c>
    </row>
    <row r="917" spans="1:15" x14ac:dyDescent="0.2">
      <c r="A917" t="s">
        <v>36</v>
      </c>
      <c r="B917">
        <v>8</v>
      </c>
      <c r="C917" s="1" t="s">
        <v>52</v>
      </c>
      <c r="D917">
        <v>6</v>
      </c>
      <c r="E917">
        <v>0.38300000000000001</v>
      </c>
      <c r="F917">
        <v>52.49</v>
      </c>
      <c r="G917">
        <v>0.26300000000000001</v>
      </c>
      <c r="L917">
        <v>7.0000000000000007E-2</v>
      </c>
      <c r="O917">
        <v>3</v>
      </c>
    </row>
    <row r="918" spans="1:15" x14ac:dyDescent="0.2">
      <c r="A918" t="s">
        <v>36</v>
      </c>
      <c r="B918">
        <v>8</v>
      </c>
      <c r="C918" s="1" t="s">
        <v>52</v>
      </c>
      <c r="D918">
        <v>7</v>
      </c>
      <c r="E918">
        <v>0.38</v>
      </c>
      <c r="F918">
        <v>61.21</v>
      </c>
      <c r="G918">
        <v>0.255</v>
      </c>
      <c r="L918">
        <v>7.0000000000000007E-2</v>
      </c>
      <c r="O918">
        <v>3</v>
      </c>
    </row>
    <row r="919" spans="1:15" x14ac:dyDescent="0.2">
      <c r="A919" t="s">
        <v>36</v>
      </c>
      <c r="B919">
        <v>8</v>
      </c>
      <c r="C919" s="1" t="s">
        <v>52</v>
      </c>
      <c r="D919">
        <v>8</v>
      </c>
      <c r="E919">
        <v>0.44900000000000001</v>
      </c>
      <c r="F919">
        <v>87.08</v>
      </c>
      <c r="G919">
        <v>0.42799999999999999</v>
      </c>
      <c r="L919">
        <v>7.0000000000000007E-2</v>
      </c>
      <c r="O919">
        <v>3</v>
      </c>
    </row>
    <row r="920" spans="1:15" x14ac:dyDescent="0.2">
      <c r="A920" t="s">
        <v>36</v>
      </c>
      <c r="B920">
        <v>8</v>
      </c>
      <c r="C920" s="1" t="s">
        <v>52</v>
      </c>
      <c r="D920">
        <v>9</v>
      </c>
      <c r="E920">
        <v>0.34200000000000003</v>
      </c>
      <c r="F920">
        <v>70.5</v>
      </c>
      <c r="G920">
        <v>0.38400000000000001</v>
      </c>
      <c r="L920">
        <v>7.0000000000000007E-2</v>
      </c>
      <c r="O920">
        <v>3</v>
      </c>
    </row>
    <row r="921" spans="1:15" x14ac:dyDescent="0.2">
      <c r="A921" t="s">
        <v>36</v>
      </c>
      <c r="B921">
        <v>8</v>
      </c>
      <c r="C921" s="1" t="s">
        <v>53</v>
      </c>
      <c r="D921">
        <v>1</v>
      </c>
      <c r="E921">
        <v>0.68500000000000005</v>
      </c>
      <c r="F921">
        <v>7.34</v>
      </c>
      <c r="G921">
        <v>1.486</v>
      </c>
      <c r="L921">
        <v>7.0000000000000007E-2</v>
      </c>
      <c r="O921">
        <v>1</v>
      </c>
    </row>
    <row r="922" spans="1:15" x14ac:dyDescent="0.2">
      <c r="A922" t="s">
        <v>36</v>
      </c>
      <c r="B922">
        <v>8</v>
      </c>
      <c r="C922" s="1" t="s">
        <v>53</v>
      </c>
      <c r="D922">
        <v>2</v>
      </c>
      <c r="E922">
        <v>0.52100000000000002</v>
      </c>
      <c r="F922">
        <v>4.37</v>
      </c>
      <c r="G922">
        <v>1.292</v>
      </c>
      <c r="L922">
        <v>7.0000000000000007E-2</v>
      </c>
      <c r="O922">
        <v>1</v>
      </c>
    </row>
    <row r="923" spans="1:15" x14ac:dyDescent="0.2">
      <c r="A923" t="s">
        <v>36</v>
      </c>
      <c r="B923">
        <v>8</v>
      </c>
      <c r="C923" s="1" t="s">
        <v>53</v>
      </c>
      <c r="D923">
        <v>3</v>
      </c>
      <c r="E923">
        <v>0.76400000000000001</v>
      </c>
      <c r="F923">
        <v>9.67</v>
      </c>
      <c r="G923">
        <v>1.863</v>
      </c>
      <c r="L923">
        <v>7.0000000000000007E-2</v>
      </c>
      <c r="O923">
        <v>1</v>
      </c>
    </row>
    <row r="924" spans="1:15" x14ac:dyDescent="0.2">
      <c r="A924" t="s">
        <v>36</v>
      </c>
      <c r="B924">
        <v>8</v>
      </c>
      <c r="C924" s="1" t="s">
        <v>53</v>
      </c>
      <c r="D924">
        <v>4</v>
      </c>
      <c r="E924">
        <v>0.57399999999999995</v>
      </c>
      <c r="F924">
        <v>6.69</v>
      </c>
      <c r="G924">
        <v>1.133</v>
      </c>
      <c r="L924">
        <v>7.0000000000000007E-2</v>
      </c>
      <c r="O924">
        <v>1</v>
      </c>
    </row>
    <row r="925" spans="1:15" x14ac:dyDescent="0.2">
      <c r="A925" t="s">
        <v>36</v>
      </c>
      <c r="B925">
        <v>8</v>
      </c>
      <c r="C925" s="1" t="s">
        <v>53</v>
      </c>
      <c r="D925">
        <v>5</v>
      </c>
      <c r="E925">
        <v>0.73499999999999999</v>
      </c>
      <c r="F925">
        <v>6.13</v>
      </c>
      <c r="G925">
        <v>1.18</v>
      </c>
      <c r="L925">
        <v>7.0000000000000007E-2</v>
      </c>
      <c r="O925">
        <v>1</v>
      </c>
    </row>
    <row r="926" spans="1:15" x14ac:dyDescent="0.2">
      <c r="A926" t="s">
        <v>36</v>
      </c>
      <c r="B926">
        <v>8</v>
      </c>
      <c r="C926" s="1" t="s">
        <v>53</v>
      </c>
      <c r="D926">
        <v>6</v>
      </c>
      <c r="E926">
        <v>0.629</v>
      </c>
      <c r="F926">
        <v>6.73</v>
      </c>
      <c r="G926">
        <v>1.704</v>
      </c>
      <c r="L926">
        <v>7.0000000000000007E-2</v>
      </c>
      <c r="O926">
        <v>1</v>
      </c>
    </row>
    <row r="927" spans="1:15" x14ac:dyDescent="0.2">
      <c r="A927" t="s">
        <v>36</v>
      </c>
      <c r="B927">
        <v>8</v>
      </c>
      <c r="C927" s="1" t="s">
        <v>53</v>
      </c>
      <c r="D927">
        <v>7</v>
      </c>
      <c r="E927">
        <v>1.028</v>
      </c>
      <c r="F927">
        <v>4.6399999999999997</v>
      </c>
      <c r="G927">
        <v>1.248</v>
      </c>
      <c r="L927">
        <v>7.0000000000000007E-2</v>
      </c>
      <c r="O927">
        <v>1</v>
      </c>
    </row>
    <row r="928" spans="1:15" x14ac:dyDescent="0.2">
      <c r="A928" t="s">
        <v>36</v>
      </c>
      <c r="B928">
        <v>8</v>
      </c>
      <c r="C928" s="1" t="s">
        <v>53</v>
      </c>
      <c r="D928">
        <v>8</v>
      </c>
      <c r="E928">
        <v>0.96499999999999997</v>
      </c>
      <c r="F928">
        <v>5.87</v>
      </c>
      <c r="G928">
        <v>1.335</v>
      </c>
      <c r="L928">
        <v>7.0000000000000007E-2</v>
      </c>
      <c r="O928">
        <v>1</v>
      </c>
    </row>
    <row r="929" spans="1:15" x14ac:dyDescent="0.2">
      <c r="A929" t="s">
        <v>36</v>
      </c>
      <c r="B929">
        <v>8</v>
      </c>
      <c r="C929" s="1" t="s">
        <v>53</v>
      </c>
      <c r="D929">
        <v>9</v>
      </c>
      <c r="E929">
        <v>0.628</v>
      </c>
      <c r="F929">
        <v>6.05</v>
      </c>
      <c r="G929">
        <v>1.087</v>
      </c>
      <c r="L929">
        <v>7.0000000000000007E-2</v>
      </c>
      <c r="O929">
        <v>1</v>
      </c>
    </row>
    <row r="930" spans="1:15" x14ac:dyDescent="0.2">
      <c r="A930" t="s">
        <v>36</v>
      </c>
      <c r="B930">
        <v>8</v>
      </c>
      <c r="C930" s="1" t="s">
        <v>54</v>
      </c>
      <c r="D930">
        <v>1</v>
      </c>
      <c r="E930">
        <v>0.374</v>
      </c>
      <c r="F930">
        <v>39.33</v>
      </c>
      <c r="G930">
        <v>0.436</v>
      </c>
      <c r="L930">
        <v>7.0000000000000007E-2</v>
      </c>
      <c r="O930">
        <v>1</v>
      </c>
    </row>
    <row r="931" spans="1:15" x14ac:dyDescent="0.2">
      <c r="A931" t="s">
        <v>36</v>
      </c>
      <c r="B931">
        <v>8</v>
      </c>
      <c r="C931" s="1" t="s">
        <v>54</v>
      </c>
      <c r="D931">
        <v>2</v>
      </c>
      <c r="E931">
        <v>0.39600000000000002</v>
      </c>
      <c r="F931">
        <v>44.75</v>
      </c>
      <c r="G931">
        <v>0.433</v>
      </c>
      <c r="L931">
        <v>7.0000000000000007E-2</v>
      </c>
      <c r="O931">
        <v>1</v>
      </c>
    </row>
    <row r="932" spans="1:15" x14ac:dyDescent="0.2">
      <c r="A932" t="s">
        <v>36</v>
      </c>
      <c r="B932">
        <v>8</v>
      </c>
      <c r="C932" s="1" t="s">
        <v>54</v>
      </c>
      <c r="D932">
        <v>3</v>
      </c>
      <c r="E932">
        <v>0.33900000000000002</v>
      </c>
      <c r="F932">
        <v>41.2</v>
      </c>
      <c r="G932">
        <v>0.71599999999999997</v>
      </c>
      <c r="L932">
        <v>7.0000000000000007E-2</v>
      </c>
      <c r="O932">
        <v>1</v>
      </c>
    </row>
    <row r="933" spans="1:15" x14ac:dyDescent="0.2">
      <c r="A933" t="s">
        <v>36</v>
      </c>
      <c r="B933">
        <v>8</v>
      </c>
      <c r="C933" s="1" t="s">
        <v>54</v>
      </c>
      <c r="D933">
        <v>4</v>
      </c>
      <c r="E933">
        <v>0.32200000000000001</v>
      </c>
      <c r="F933">
        <v>41.48</v>
      </c>
      <c r="G933">
        <v>0.38100000000000001</v>
      </c>
      <c r="L933">
        <v>7.0000000000000007E-2</v>
      </c>
      <c r="O933">
        <v>1</v>
      </c>
    </row>
    <row r="934" spans="1:15" x14ac:dyDescent="0.2">
      <c r="A934" t="s">
        <v>36</v>
      </c>
      <c r="B934">
        <v>8</v>
      </c>
      <c r="C934" s="1" t="s">
        <v>54</v>
      </c>
      <c r="D934">
        <v>5</v>
      </c>
      <c r="E934">
        <v>0.372</v>
      </c>
      <c r="F934">
        <v>43.04</v>
      </c>
      <c r="G934">
        <v>0.68</v>
      </c>
      <c r="L934">
        <v>7.0000000000000007E-2</v>
      </c>
      <c r="O934">
        <v>1</v>
      </c>
    </row>
    <row r="935" spans="1:15" x14ac:dyDescent="0.2">
      <c r="A935" t="s">
        <v>36</v>
      </c>
      <c r="B935">
        <v>8</v>
      </c>
      <c r="C935" s="1" t="s">
        <v>54</v>
      </c>
      <c r="D935">
        <v>6</v>
      </c>
      <c r="E935">
        <v>0.33</v>
      </c>
      <c r="F935">
        <v>36.840000000000003</v>
      </c>
      <c r="G935">
        <v>0.79600000000000004</v>
      </c>
      <c r="L935">
        <v>7.0000000000000007E-2</v>
      </c>
      <c r="O935">
        <v>1</v>
      </c>
    </row>
    <row r="936" spans="1:15" x14ac:dyDescent="0.2">
      <c r="A936" t="s">
        <v>36</v>
      </c>
      <c r="B936">
        <v>8</v>
      </c>
      <c r="C936" s="1" t="s">
        <v>54</v>
      </c>
      <c r="D936">
        <v>7</v>
      </c>
      <c r="E936">
        <v>0.313</v>
      </c>
      <c r="F936">
        <v>37.130000000000003</v>
      </c>
      <c r="G936">
        <v>0.81599999999999995</v>
      </c>
      <c r="L936">
        <v>7.0000000000000007E-2</v>
      </c>
      <c r="O936">
        <v>1</v>
      </c>
    </row>
    <row r="937" spans="1:15" x14ac:dyDescent="0.2">
      <c r="A937" t="s">
        <v>36</v>
      </c>
      <c r="B937">
        <v>8</v>
      </c>
      <c r="C937" s="1" t="s">
        <v>54</v>
      </c>
      <c r="D937">
        <v>8</v>
      </c>
      <c r="E937">
        <v>0.307</v>
      </c>
      <c r="F937">
        <v>39.51</v>
      </c>
      <c r="G937">
        <v>0.73299999999999998</v>
      </c>
      <c r="L937">
        <v>7.0000000000000007E-2</v>
      </c>
      <c r="O937">
        <v>1</v>
      </c>
    </row>
    <row r="938" spans="1:15" x14ac:dyDescent="0.2">
      <c r="A938" t="s">
        <v>36</v>
      </c>
      <c r="B938">
        <v>8</v>
      </c>
      <c r="C938" s="1" t="s">
        <v>54</v>
      </c>
      <c r="D938">
        <v>9</v>
      </c>
      <c r="E938">
        <v>0.36</v>
      </c>
      <c r="F938">
        <v>36.119999999999997</v>
      </c>
      <c r="G938">
        <v>0.69899999999999995</v>
      </c>
      <c r="L938">
        <v>7.0000000000000007E-2</v>
      </c>
      <c r="O938">
        <v>1</v>
      </c>
    </row>
    <row r="939" spans="1:15" x14ac:dyDescent="0.2">
      <c r="A939" t="s">
        <v>36</v>
      </c>
      <c r="B939">
        <v>8</v>
      </c>
      <c r="C939" s="1" t="s">
        <v>47</v>
      </c>
      <c r="D939">
        <v>1</v>
      </c>
      <c r="E939">
        <v>0.33100000000000002</v>
      </c>
      <c r="F939">
        <v>17.149999999999999</v>
      </c>
      <c r="G939">
        <v>2.149</v>
      </c>
      <c r="L939">
        <v>7.0000000000000007E-2</v>
      </c>
      <c r="O939">
        <v>1</v>
      </c>
    </row>
    <row r="940" spans="1:15" x14ac:dyDescent="0.2">
      <c r="A940" t="s">
        <v>36</v>
      </c>
      <c r="B940">
        <v>8</v>
      </c>
      <c r="C940" s="1" t="s">
        <v>47</v>
      </c>
      <c r="D940">
        <v>2</v>
      </c>
      <c r="E940">
        <v>0.26400000000000001</v>
      </c>
      <c r="F940">
        <v>13.16</v>
      </c>
      <c r="G940">
        <v>2.391</v>
      </c>
      <c r="L940">
        <v>7.0000000000000007E-2</v>
      </c>
      <c r="O940">
        <v>1</v>
      </c>
    </row>
    <row r="941" spans="1:15" x14ac:dyDescent="0.2">
      <c r="A941" t="s">
        <v>36</v>
      </c>
      <c r="B941">
        <v>8</v>
      </c>
      <c r="C941" s="1" t="s">
        <v>47</v>
      </c>
      <c r="D941">
        <v>3</v>
      </c>
      <c r="E941">
        <v>0.36199999999999999</v>
      </c>
      <c r="F941">
        <v>16.47</v>
      </c>
      <c r="G941">
        <v>1.617</v>
      </c>
      <c r="L941">
        <v>7.0000000000000007E-2</v>
      </c>
      <c r="O941">
        <v>1</v>
      </c>
    </row>
    <row r="942" spans="1:15" x14ac:dyDescent="0.2">
      <c r="A942" t="s">
        <v>36</v>
      </c>
      <c r="B942">
        <v>8</v>
      </c>
      <c r="C942" s="1" t="s">
        <v>47</v>
      </c>
      <c r="D942">
        <v>4</v>
      </c>
      <c r="E942">
        <v>0.311</v>
      </c>
      <c r="F942">
        <v>12.05</v>
      </c>
      <c r="G942">
        <v>2.4609999999999999</v>
      </c>
      <c r="L942">
        <v>7.0000000000000007E-2</v>
      </c>
      <c r="O942">
        <v>1</v>
      </c>
    </row>
    <row r="943" spans="1:15" x14ac:dyDescent="0.2">
      <c r="A943" t="s">
        <v>36</v>
      </c>
      <c r="B943">
        <v>8</v>
      </c>
      <c r="C943" s="1" t="s">
        <v>47</v>
      </c>
      <c r="D943">
        <v>5</v>
      </c>
      <c r="E943">
        <v>0.318</v>
      </c>
      <c r="F943">
        <v>26.37</v>
      </c>
      <c r="G943">
        <v>1.9370000000000001</v>
      </c>
      <c r="L943">
        <v>7.0000000000000007E-2</v>
      </c>
      <c r="O943">
        <v>1</v>
      </c>
    </row>
    <row r="944" spans="1:15" x14ac:dyDescent="0.2">
      <c r="A944" t="s">
        <v>36</v>
      </c>
      <c r="B944">
        <v>8</v>
      </c>
      <c r="C944" s="1" t="s">
        <v>47</v>
      </c>
      <c r="D944">
        <v>6</v>
      </c>
      <c r="E944">
        <v>0.36599999999999999</v>
      </c>
      <c r="F944">
        <v>17.88</v>
      </c>
      <c r="G944">
        <v>1.7210000000000001</v>
      </c>
      <c r="L944">
        <v>7.0000000000000007E-2</v>
      </c>
      <c r="O944">
        <v>1</v>
      </c>
    </row>
    <row r="945" spans="1:15" x14ac:dyDescent="0.2">
      <c r="A945" t="s">
        <v>36</v>
      </c>
      <c r="B945">
        <v>8</v>
      </c>
      <c r="C945" s="1" t="s">
        <v>47</v>
      </c>
      <c r="D945">
        <v>7</v>
      </c>
      <c r="E945">
        <v>0.34300000000000003</v>
      </c>
      <c r="F945">
        <v>19.62</v>
      </c>
      <c r="G945">
        <v>1.413</v>
      </c>
      <c r="L945">
        <v>7.0000000000000007E-2</v>
      </c>
      <c r="O945">
        <v>1</v>
      </c>
    </row>
    <row r="946" spans="1:15" x14ac:dyDescent="0.2">
      <c r="A946" t="s">
        <v>36</v>
      </c>
      <c r="B946">
        <v>8</v>
      </c>
      <c r="C946" s="1" t="s">
        <v>47</v>
      </c>
      <c r="D946">
        <v>8</v>
      </c>
      <c r="E946">
        <v>0.3</v>
      </c>
      <c r="F946">
        <v>16.100000000000001</v>
      </c>
      <c r="G946">
        <v>2.444</v>
      </c>
      <c r="L946">
        <v>7.0000000000000007E-2</v>
      </c>
      <c r="O946">
        <v>1</v>
      </c>
    </row>
    <row r="947" spans="1:15" x14ac:dyDescent="0.2">
      <c r="A947" t="s">
        <v>36</v>
      </c>
      <c r="B947">
        <v>8</v>
      </c>
      <c r="C947" s="1" t="s">
        <v>47</v>
      </c>
      <c r="D947">
        <v>9</v>
      </c>
      <c r="E947">
        <v>0.309</v>
      </c>
      <c r="F947">
        <v>14.42</v>
      </c>
      <c r="G947">
        <v>1.635</v>
      </c>
      <c r="L947">
        <v>7.0000000000000007E-2</v>
      </c>
      <c r="O947">
        <v>1</v>
      </c>
    </row>
    <row r="948" spans="1:15" x14ac:dyDescent="0.2">
      <c r="A948" t="s">
        <v>36</v>
      </c>
      <c r="B948">
        <v>8</v>
      </c>
      <c r="C948" s="1" t="s">
        <v>55</v>
      </c>
      <c r="D948">
        <v>1</v>
      </c>
      <c r="E948">
        <v>0.64800000000000002</v>
      </c>
      <c r="F948">
        <v>4.96</v>
      </c>
      <c r="G948">
        <v>0.152</v>
      </c>
      <c r="L948">
        <v>7.0000000000000007E-2</v>
      </c>
      <c r="O948">
        <v>29</v>
      </c>
    </row>
    <row r="949" spans="1:15" x14ac:dyDescent="0.2">
      <c r="A949" t="s">
        <v>36</v>
      </c>
      <c r="B949">
        <v>8</v>
      </c>
      <c r="C949" s="1" t="s">
        <v>55</v>
      </c>
      <c r="D949">
        <v>2</v>
      </c>
      <c r="E949">
        <v>0.78900000000000003</v>
      </c>
      <c r="F949">
        <v>5.79</v>
      </c>
      <c r="G949">
        <v>0.218</v>
      </c>
      <c r="L949">
        <v>7.0000000000000007E-2</v>
      </c>
      <c r="O949">
        <v>29</v>
      </c>
    </row>
    <row r="950" spans="1:15" x14ac:dyDescent="0.2">
      <c r="A950" t="s">
        <v>36</v>
      </c>
      <c r="B950">
        <v>8</v>
      </c>
      <c r="C950" s="1" t="s">
        <v>55</v>
      </c>
      <c r="D950">
        <v>3</v>
      </c>
      <c r="E950">
        <v>0.71099999999999997</v>
      </c>
      <c r="F950">
        <v>6.75</v>
      </c>
      <c r="G950">
        <v>0.23599999999999999</v>
      </c>
      <c r="L950">
        <v>7.0000000000000007E-2</v>
      </c>
      <c r="O950">
        <v>29</v>
      </c>
    </row>
    <row r="951" spans="1:15" x14ac:dyDescent="0.2">
      <c r="A951" t="s">
        <v>36</v>
      </c>
      <c r="B951">
        <v>8</v>
      </c>
      <c r="C951" s="1" t="s">
        <v>55</v>
      </c>
      <c r="D951">
        <v>4</v>
      </c>
      <c r="E951">
        <v>0.51600000000000001</v>
      </c>
      <c r="F951">
        <v>5.52</v>
      </c>
      <c r="G951">
        <v>0.16800000000000001</v>
      </c>
      <c r="L951">
        <v>7.0000000000000007E-2</v>
      </c>
      <c r="O951">
        <v>29</v>
      </c>
    </row>
    <row r="952" spans="1:15" x14ac:dyDescent="0.2">
      <c r="A952" t="s">
        <v>36</v>
      </c>
      <c r="B952">
        <v>8</v>
      </c>
      <c r="C952" s="1" t="s">
        <v>55</v>
      </c>
      <c r="D952">
        <v>5</v>
      </c>
      <c r="E952">
        <v>0.58299999999999996</v>
      </c>
      <c r="F952">
        <v>6.97</v>
      </c>
      <c r="G952">
        <v>0.13500000000000001</v>
      </c>
      <c r="L952">
        <v>7.0000000000000007E-2</v>
      </c>
      <c r="O952">
        <v>29</v>
      </c>
    </row>
    <row r="953" spans="1:15" x14ac:dyDescent="0.2">
      <c r="A953" t="s">
        <v>36</v>
      </c>
      <c r="B953">
        <v>8</v>
      </c>
      <c r="C953" s="1" t="s">
        <v>55</v>
      </c>
      <c r="D953">
        <v>6</v>
      </c>
      <c r="E953">
        <v>0.875</v>
      </c>
      <c r="F953">
        <v>7.25</v>
      </c>
      <c r="G953">
        <v>0.22500000000000001</v>
      </c>
      <c r="L953">
        <v>7.0000000000000007E-2</v>
      </c>
      <c r="O953">
        <v>29</v>
      </c>
    </row>
    <row r="954" spans="1:15" x14ac:dyDescent="0.2">
      <c r="A954" t="s">
        <v>36</v>
      </c>
      <c r="B954">
        <v>8</v>
      </c>
      <c r="C954" s="1" t="s">
        <v>55</v>
      </c>
      <c r="D954">
        <v>7</v>
      </c>
      <c r="E954">
        <v>0.65</v>
      </c>
      <c r="F954">
        <v>4.68</v>
      </c>
      <c r="G954">
        <v>0.187</v>
      </c>
      <c r="L954">
        <v>7.0000000000000007E-2</v>
      </c>
      <c r="O954">
        <v>29</v>
      </c>
    </row>
    <row r="955" spans="1:15" x14ac:dyDescent="0.2">
      <c r="A955" t="s">
        <v>36</v>
      </c>
      <c r="B955">
        <v>8</v>
      </c>
      <c r="C955" s="1" t="s">
        <v>55</v>
      </c>
      <c r="D955">
        <v>8</v>
      </c>
      <c r="E955">
        <v>0.61099999999999999</v>
      </c>
      <c r="F955">
        <v>5.66</v>
      </c>
      <c r="G955">
        <v>0.23499999999999999</v>
      </c>
      <c r="L955">
        <v>7.0000000000000007E-2</v>
      </c>
      <c r="O955">
        <v>29</v>
      </c>
    </row>
    <row r="956" spans="1:15" x14ac:dyDescent="0.2">
      <c r="A956" t="s">
        <v>36</v>
      </c>
      <c r="B956">
        <v>8</v>
      </c>
      <c r="C956" s="1" t="s">
        <v>55</v>
      </c>
      <c r="D956">
        <v>9</v>
      </c>
      <c r="E956">
        <v>0.61199999999999999</v>
      </c>
      <c r="F956">
        <v>7.68</v>
      </c>
      <c r="G956">
        <v>0.19500000000000001</v>
      </c>
      <c r="L956">
        <v>7.0000000000000007E-2</v>
      </c>
      <c r="O956">
        <v>29</v>
      </c>
    </row>
    <row r="957" spans="1:15" x14ac:dyDescent="0.2">
      <c r="A957" t="s">
        <v>36</v>
      </c>
      <c r="B957">
        <v>8</v>
      </c>
      <c r="C957" s="1" t="s">
        <v>50</v>
      </c>
      <c r="D957">
        <v>1</v>
      </c>
      <c r="E957">
        <v>0.128</v>
      </c>
      <c r="F957">
        <v>7.64</v>
      </c>
      <c r="G957">
        <v>1E-3</v>
      </c>
      <c r="L957">
        <v>7.0000000000000007E-2</v>
      </c>
      <c r="O957">
        <v>4</v>
      </c>
    </row>
    <row r="958" spans="1:15" x14ac:dyDescent="0.2">
      <c r="A958" t="s">
        <v>36</v>
      </c>
      <c r="B958">
        <v>8</v>
      </c>
      <c r="C958" s="1" t="s">
        <v>50</v>
      </c>
      <c r="D958">
        <v>2</v>
      </c>
      <c r="E958">
        <v>0.14399999999999999</v>
      </c>
      <c r="F958">
        <v>7.21</v>
      </c>
      <c r="G958">
        <v>1E-3</v>
      </c>
      <c r="L958">
        <v>7.0000000000000007E-2</v>
      </c>
      <c r="O958">
        <v>4</v>
      </c>
    </row>
    <row r="959" spans="1:15" x14ac:dyDescent="0.2">
      <c r="A959" t="s">
        <v>36</v>
      </c>
      <c r="B959">
        <v>8</v>
      </c>
      <c r="C959" s="1" t="s">
        <v>50</v>
      </c>
      <c r="D959">
        <v>3</v>
      </c>
      <c r="E959">
        <v>0.11</v>
      </c>
      <c r="F959">
        <v>7.61</v>
      </c>
      <c r="G959">
        <v>1E-3</v>
      </c>
      <c r="L959">
        <v>7.0000000000000007E-2</v>
      </c>
      <c r="O959">
        <v>4</v>
      </c>
    </row>
    <row r="960" spans="1:15" x14ac:dyDescent="0.2">
      <c r="A960" t="s">
        <v>36</v>
      </c>
      <c r="B960">
        <v>8</v>
      </c>
      <c r="C960" s="1" t="s">
        <v>50</v>
      </c>
      <c r="D960">
        <v>4</v>
      </c>
      <c r="E960">
        <v>0.14599999999999999</v>
      </c>
      <c r="F960">
        <v>6.91</v>
      </c>
      <c r="G960">
        <v>1E-3</v>
      </c>
      <c r="L960">
        <v>7.0000000000000007E-2</v>
      </c>
      <c r="O960">
        <v>4</v>
      </c>
    </row>
    <row r="961" spans="1:15" x14ac:dyDescent="0.2">
      <c r="A961" t="s">
        <v>36</v>
      </c>
      <c r="B961">
        <v>8</v>
      </c>
      <c r="C961" s="1" t="s">
        <v>50</v>
      </c>
      <c r="D961">
        <v>5</v>
      </c>
      <c r="E961">
        <v>0.14199999999999999</v>
      </c>
      <c r="F961">
        <v>7.68</v>
      </c>
      <c r="G961">
        <v>2E-3</v>
      </c>
      <c r="L961">
        <v>7.0000000000000007E-2</v>
      </c>
      <c r="O961">
        <v>4</v>
      </c>
    </row>
    <row r="962" spans="1:15" x14ac:dyDescent="0.2">
      <c r="A962" t="s">
        <v>36</v>
      </c>
      <c r="B962">
        <v>8</v>
      </c>
      <c r="C962" s="1" t="s">
        <v>50</v>
      </c>
      <c r="D962">
        <v>6</v>
      </c>
      <c r="E962">
        <v>0.14899999999999999</v>
      </c>
      <c r="F962">
        <v>7.21</v>
      </c>
      <c r="G962">
        <v>2E-3</v>
      </c>
      <c r="L962">
        <v>7.0000000000000007E-2</v>
      </c>
      <c r="O962">
        <v>4</v>
      </c>
    </row>
    <row r="963" spans="1:15" x14ac:dyDescent="0.2">
      <c r="A963" t="s">
        <v>36</v>
      </c>
      <c r="B963">
        <v>8</v>
      </c>
      <c r="C963" s="1" t="s">
        <v>50</v>
      </c>
      <c r="D963">
        <v>7</v>
      </c>
      <c r="E963">
        <v>0.16200000000000001</v>
      </c>
      <c r="F963">
        <v>7.87</v>
      </c>
      <c r="G963">
        <v>2E-3</v>
      </c>
      <c r="L963">
        <v>7.0000000000000007E-2</v>
      </c>
      <c r="O963">
        <v>4</v>
      </c>
    </row>
    <row r="964" spans="1:15" x14ac:dyDescent="0.2">
      <c r="A964" t="s">
        <v>36</v>
      </c>
      <c r="B964">
        <v>8</v>
      </c>
      <c r="C964" s="1" t="s">
        <v>50</v>
      </c>
      <c r="D964">
        <v>8</v>
      </c>
      <c r="E964">
        <v>0.189</v>
      </c>
      <c r="F964">
        <v>7.22</v>
      </c>
      <c r="G964">
        <v>1E-3</v>
      </c>
      <c r="L964">
        <v>7.0000000000000007E-2</v>
      </c>
      <c r="O964">
        <v>4</v>
      </c>
    </row>
    <row r="965" spans="1:15" x14ac:dyDescent="0.2">
      <c r="A965" t="s">
        <v>36</v>
      </c>
      <c r="B965">
        <v>8</v>
      </c>
      <c r="C965" s="1" t="s">
        <v>50</v>
      </c>
      <c r="D965">
        <v>9</v>
      </c>
      <c r="E965">
        <v>0.13200000000000001</v>
      </c>
      <c r="F965">
        <v>7.37</v>
      </c>
      <c r="G965">
        <v>1E-3</v>
      </c>
      <c r="L965">
        <v>7.0000000000000007E-2</v>
      </c>
      <c r="O965">
        <v>4</v>
      </c>
    </row>
    <row r="966" spans="1:15" x14ac:dyDescent="0.2">
      <c r="A966" t="s">
        <v>36</v>
      </c>
      <c r="B966">
        <v>8</v>
      </c>
      <c r="C966" s="1" t="s">
        <v>56</v>
      </c>
      <c r="D966">
        <v>1</v>
      </c>
      <c r="E966">
        <v>1.1759999999999999</v>
      </c>
      <c r="F966">
        <v>19.77</v>
      </c>
      <c r="G966">
        <v>0.13400000000000001</v>
      </c>
      <c r="L966">
        <v>7.0000000000000007E-2</v>
      </c>
      <c r="O966">
        <v>4</v>
      </c>
    </row>
    <row r="967" spans="1:15" x14ac:dyDescent="0.2">
      <c r="A967" t="s">
        <v>36</v>
      </c>
      <c r="B967">
        <v>8</v>
      </c>
      <c r="C967" s="1" t="s">
        <v>56</v>
      </c>
      <c r="D967">
        <v>2</v>
      </c>
      <c r="E967">
        <v>0.95299999999999996</v>
      </c>
      <c r="F967">
        <v>21.38</v>
      </c>
      <c r="G967">
        <v>0.11799999999999999</v>
      </c>
      <c r="L967">
        <v>7.0000000000000007E-2</v>
      </c>
      <c r="O967">
        <v>4</v>
      </c>
    </row>
    <row r="968" spans="1:15" x14ac:dyDescent="0.2">
      <c r="A968" t="s">
        <v>36</v>
      </c>
      <c r="B968">
        <v>8</v>
      </c>
      <c r="C968" s="1" t="s">
        <v>56</v>
      </c>
      <c r="D968">
        <v>3</v>
      </c>
      <c r="E968">
        <v>1.214</v>
      </c>
      <c r="F968">
        <v>21.84</v>
      </c>
      <c r="G968">
        <v>9.8000000000000004E-2</v>
      </c>
      <c r="L968">
        <v>7.0000000000000007E-2</v>
      </c>
      <c r="O968">
        <v>4</v>
      </c>
    </row>
    <row r="969" spans="1:15" x14ac:dyDescent="0.2">
      <c r="A969" t="s">
        <v>36</v>
      </c>
      <c r="B969">
        <v>8</v>
      </c>
      <c r="C969" s="1" t="s">
        <v>56</v>
      </c>
      <c r="D969">
        <v>4</v>
      </c>
      <c r="E969">
        <v>1.6259999999999999</v>
      </c>
      <c r="F969">
        <v>20.68</v>
      </c>
      <c r="G969">
        <v>0.13100000000000001</v>
      </c>
      <c r="L969">
        <v>7.0000000000000007E-2</v>
      </c>
      <c r="O969">
        <v>4</v>
      </c>
    </row>
    <row r="970" spans="1:15" x14ac:dyDescent="0.2">
      <c r="A970" t="s">
        <v>36</v>
      </c>
      <c r="B970">
        <v>8</v>
      </c>
      <c r="C970" s="1" t="s">
        <v>56</v>
      </c>
      <c r="D970">
        <v>5</v>
      </c>
      <c r="E970">
        <v>1.212</v>
      </c>
      <c r="F970">
        <v>21.72</v>
      </c>
      <c r="G970">
        <v>0.115</v>
      </c>
      <c r="L970">
        <v>7.0000000000000007E-2</v>
      </c>
      <c r="O970">
        <v>4</v>
      </c>
    </row>
    <row r="971" spans="1:15" x14ac:dyDescent="0.2">
      <c r="A971" t="s">
        <v>36</v>
      </c>
      <c r="B971">
        <v>8</v>
      </c>
      <c r="C971" s="1" t="s">
        <v>56</v>
      </c>
      <c r="D971">
        <v>6</v>
      </c>
      <c r="E971">
        <v>1.119</v>
      </c>
      <c r="F971">
        <v>21</v>
      </c>
      <c r="G971">
        <v>7.0999999999999994E-2</v>
      </c>
      <c r="L971">
        <v>7.0000000000000007E-2</v>
      </c>
      <c r="O971">
        <v>4</v>
      </c>
    </row>
    <row r="972" spans="1:15" x14ac:dyDescent="0.2">
      <c r="A972" t="s">
        <v>36</v>
      </c>
      <c r="B972">
        <v>8</v>
      </c>
      <c r="C972" s="1" t="s">
        <v>56</v>
      </c>
      <c r="D972">
        <v>7</v>
      </c>
      <c r="E972">
        <v>0.998</v>
      </c>
      <c r="F972">
        <v>19.07</v>
      </c>
      <c r="G972">
        <v>8.2000000000000003E-2</v>
      </c>
      <c r="L972">
        <v>7.0000000000000007E-2</v>
      </c>
      <c r="O972">
        <v>4</v>
      </c>
    </row>
    <row r="973" spans="1:15" x14ac:dyDescent="0.2">
      <c r="A973" t="s">
        <v>36</v>
      </c>
      <c r="B973">
        <v>8</v>
      </c>
      <c r="C973" s="1" t="s">
        <v>56</v>
      </c>
      <c r="D973">
        <v>8</v>
      </c>
      <c r="E973">
        <v>1.131</v>
      </c>
      <c r="F973">
        <v>19.95</v>
      </c>
      <c r="G973">
        <v>8.8999999999999996E-2</v>
      </c>
      <c r="L973">
        <v>7.0000000000000007E-2</v>
      </c>
      <c r="O973">
        <v>4</v>
      </c>
    </row>
    <row r="974" spans="1:15" x14ac:dyDescent="0.2">
      <c r="A974" t="s">
        <v>36</v>
      </c>
      <c r="B974">
        <v>8</v>
      </c>
      <c r="C974" s="1" t="s">
        <v>56</v>
      </c>
      <c r="D974">
        <v>9</v>
      </c>
      <c r="E974">
        <v>0.84499999999999997</v>
      </c>
      <c r="F974">
        <v>23.36</v>
      </c>
      <c r="G974">
        <v>0.10199999999999999</v>
      </c>
      <c r="L974">
        <v>7.0000000000000007E-2</v>
      </c>
      <c r="O974">
        <v>4</v>
      </c>
    </row>
    <row r="975" spans="1:15" x14ac:dyDescent="0.2">
      <c r="A975" t="s">
        <v>36</v>
      </c>
      <c r="B975">
        <v>9</v>
      </c>
      <c r="C975" s="1" t="s">
        <v>46</v>
      </c>
      <c r="D975">
        <v>1</v>
      </c>
      <c r="E975">
        <v>0.39900000000000002</v>
      </c>
      <c r="F975">
        <v>61.54</v>
      </c>
      <c r="G975">
        <v>0.248</v>
      </c>
      <c r="L975">
        <v>5.5E-2</v>
      </c>
      <c r="O975">
        <v>1</v>
      </c>
    </row>
    <row r="976" spans="1:15" x14ac:dyDescent="0.2">
      <c r="A976" t="s">
        <v>36</v>
      </c>
      <c r="B976">
        <v>9</v>
      </c>
      <c r="C976" s="1" t="s">
        <v>46</v>
      </c>
      <c r="D976">
        <v>2</v>
      </c>
      <c r="E976">
        <v>0.32900000000000001</v>
      </c>
      <c r="F976">
        <v>73.599999999999994</v>
      </c>
      <c r="G976">
        <v>0.35199999999999998</v>
      </c>
      <c r="L976">
        <v>5.5E-2</v>
      </c>
      <c r="O976">
        <v>1</v>
      </c>
    </row>
    <row r="977" spans="1:15" x14ac:dyDescent="0.2">
      <c r="A977" t="s">
        <v>36</v>
      </c>
      <c r="B977">
        <v>9</v>
      </c>
      <c r="C977" s="1" t="s">
        <v>46</v>
      </c>
      <c r="D977">
        <v>3</v>
      </c>
      <c r="E977">
        <v>0.34</v>
      </c>
      <c r="F977">
        <v>77.25</v>
      </c>
      <c r="G977">
        <v>0.308</v>
      </c>
      <c r="L977">
        <v>5.5E-2</v>
      </c>
      <c r="O977">
        <v>1</v>
      </c>
    </row>
    <row r="978" spans="1:15" x14ac:dyDescent="0.2">
      <c r="A978" t="s">
        <v>36</v>
      </c>
      <c r="B978">
        <v>9</v>
      </c>
      <c r="C978" s="1" t="s">
        <v>46</v>
      </c>
      <c r="D978">
        <v>4</v>
      </c>
      <c r="E978">
        <v>0.54</v>
      </c>
      <c r="F978">
        <v>77.12</v>
      </c>
      <c r="G978">
        <v>0.32800000000000001</v>
      </c>
      <c r="L978">
        <v>5.5E-2</v>
      </c>
      <c r="O978">
        <v>1</v>
      </c>
    </row>
    <row r="979" spans="1:15" x14ac:dyDescent="0.2">
      <c r="A979" t="s">
        <v>36</v>
      </c>
      <c r="B979">
        <v>9</v>
      </c>
      <c r="C979" s="1" t="s">
        <v>46</v>
      </c>
      <c r="D979">
        <v>5</v>
      </c>
      <c r="E979">
        <v>0.371</v>
      </c>
      <c r="F979">
        <v>57.36</v>
      </c>
      <c r="G979">
        <v>0.38800000000000001</v>
      </c>
      <c r="L979">
        <v>5.5E-2</v>
      </c>
      <c r="O979">
        <v>1</v>
      </c>
    </row>
    <row r="980" spans="1:15" x14ac:dyDescent="0.2">
      <c r="A980" t="s">
        <v>36</v>
      </c>
      <c r="B980">
        <v>9</v>
      </c>
      <c r="C980" s="1" t="s">
        <v>46</v>
      </c>
      <c r="D980">
        <v>6</v>
      </c>
      <c r="E980">
        <v>0.34599999999999997</v>
      </c>
      <c r="F980">
        <v>50.91</v>
      </c>
      <c r="G980">
        <v>0.19700000000000001</v>
      </c>
      <c r="L980">
        <v>5.5E-2</v>
      </c>
      <c r="O980">
        <v>1</v>
      </c>
    </row>
    <row r="981" spans="1:15" x14ac:dyDescent="0.2">
      <c r="A981" t="s">
        <v>36</v>
      </c>
      <c r="B981">
        <v>9</v>
      </c>
      <c r="C981" s="1" t="s">
        <v>46</v>
      </c>
      <c r="D981">
        <v>7</v>
      </c>
      <c r="E981">
        <v>0.33500000000000002</v>
      </c>
      <c r="F981">
        <v>75.38</v>
      </c>
      <c r="G981">
        <v>0.24099999999999999</v>
      </c>
      <c r="L981">
        <v>5.5E-2</v>
      </c>
      <c r="O981">
        <v>1</v>
      </c>
    </row>
    <row r="982" spans="1:15" x14ac:dyDescent="0.2">
      <c r="A982" t="s">
        <v>36</v>
      </c>
      <c r="B982">
        <v>9</v>
      </c>
      <c r="C982" s="1" t="s">
        <v>46</v>
      </c>
      <c r="D982">
        <v>8</v>
      </c>
      <c r="E982">
        <v>0.34899999999999998</v>
      </c>
      <c r="F982">
        <v>57.66</v>
      </c>
      <c r="G982">
        <v>0.27600000000000002</v>
      </c>
      <c r="L982">
        <v>5.5E-2</v>
      </c>
      <c r="O982">
        <v>1</v>
      </c>
    </row>
    <row r="983" spans="1:15" x14ac:dyDescent="0.2">
      <c r="A983" t="s">
        <v>36</v>
      </c>
      <c r="B983">
        <v>9</v>
      </c>
      <c r="C983" s="1" t="s">
        <v>46</v>
      </c>
      <c r="D983">
        <v>9</v>
      </c>
      <c r="E983">
        <v>0.38200000000000001</v>
      </c>
      <c r="F983">
        <v>61.43</v>
      </c>
      <c r="G983">
        <v>0.25600000000000001</v>
      </c>
      <c r="L983">
        <v>5.5E-2</v>
      </c>
      <c r="O983">
        <v>1</v>
      </c>
    </row>
    <row r="984" spans="1:15" x14ac:dyDescent="0.2">
      <c r="A984" t="s">
        <v>36</v>
      </c>
      <c r="B984">
        <v>9</v>
      </c>
      <c r="C984" s="1" t="s">
        <v>51</v>
      </c>
      <c r="D984">
        <v>1</v>
      </c>
      <c r="E984">
        <v>0.36399999999999999</v>
      </c>
      <c r="F984">
        <v>63.16</v>
      </c>
      <c r="G984">
        <v>0.41399999999999998</v>
      </c>
      <c r="L984">
        <v>5.5E-2</v>
      </c>
      <c r="O984">
        <v>44</v>
      </c>
    </row>
    <row r="985" spans="1:15" x14ac:dyDescent="0.2">
      <c r="A985" t="s">
        <v>36</v>
      </c>
      <c r="B985">
        <v>9</v>
      </c>
      <c r="C985" s="1" t="s">
        <v>51</v>
      </c>
      <c r="D985">
        <v>2</v>
      </c>
      <c r="E985">
        <v>0.38200000000000001</v>
      </c>
      <c r="F985">
        <v>62.33</v>
      </c>
      <c r="G985">
        <v>0.28999999999999998</v>
      </c>
      <c r="L985">
        <v>5.5E-2</v>
      </c>
      <c r="O985">
        <v>44</v>
      </c>
    </row>
    <row r="986" spans="1:15" x14ac:dyDescent="0.2">
      <c r="A986" t="s">
        <v>36</v>
      </c>
      <c r="B986">
        <v>9</v>
      </c>
      <c r="C986" s="1" t="s">
        <v>51</v>
      </c>
      <c r="D986">
        <v>3</v>
      </c>
      <c r="E986">
        <v>0.35</v>
      </c>
      <c r="F986">
        <v>72.900000000000006</v>
      </c>
      <c r="G986">
        <v>0.30299999999999999</v>
      </c>
      <c r="L986">
        <v>5.5E-2</v>
      </c>
      <c r="O986">
        <v>44</v>
      </c>
    </row>
    <row r="987" spans="1:15" x14ac:dyDescent="0.2">
      <c r="A987" t="s">
        <v>36</v>
      </c>
      <c r="B987">
        <v>9</v>
      </c>
      <c r="C987" s="1" t="s">
        <v>51</v>
      </c>
      <c r="D987">
        <v>4</v>
      </c>
      <c r="E987">
        <v>0.45300000000000001</v>
      </c>
      <c r="F987">
        <v>50.62</v>
      </c>
      <c r="G987">
        <v>0.28399999999999997</v>
      </c>
      <c r="L987">
        <v>5.5E-2</v>
      </c>
      <c r="O987">
        <v>44</v>
      </c>
    </row>
    <row r="988" spans="1:15" x14ac:dyDescent="0.2">
      <c r="A988" t="s">
        <v>36</v>
      </c>
      <c r="B988">
        <v>9</v>
      </c>
      <c r="C988" s="1" t="s">
        <v>51</v>
      </c>
      <c r="D988">
        <v>5</v>
      </c>
      <c r="E988">
        <v>0.379</v>
      </c>
      <c r="F988">
        <v>55.56</v>
      </c>
      <c r="G988">
        <v>0.21</v>
      </c>
      <c r="L988">
        <v>5.5E-2</v>
      </c>
      <c r="O988">
        <v>44</v>
      </c>
    </row>
    <row r="989" spans="1:15" x14ac:dyDescent="0.2">
      <c r="A989" t="s">
        <v>36</v>
      </c>
      <c r="B989">
        <v>9</v>
      </c>
      <c r="C989" s="1" t="s">
        <v>51</v>
      </c>
      <c r="D989">
        <v>6</v>
      </c>
      <c r="E989">
        <v>0.31</v>
      </c>
      <c r="F989">
        <v>65.95</v>
      </c>
      <c r="G989">
        <v>0.315</v>
      </c>
      <c r="L989">
        <v>5.5E-2</v>
      </c>
      <c r="O989">
        <v>44</v>
      </c>
    </row>
    <row r="990" spans="1:15" x14ac:dyDescent="0.2">
      <c r="A990" t="s">
        <v>36</v>
      </c>
      <c r="B990">
        <v>9</v>
      </c>
      <c r="C990" s="1" t="s">
        <v>51</v>
      </c>
      <c r="D990">
        <v>7</v>
      </c>
      <c r="E990">
        <v>0.34699999999999998</v>
      </c>
      <c r="F990">
        <v>83.36</v>
      </c>
      <c r="G990">
        <v>0.28000000000000003</v>
      </c>
      <c r="L990">
        <v>5.5E-2</v>
      </c>
      <c r="O990">
        <v>44</v>
      </c>
    </row>
    <row r="991" spans="1:15" x14ac:dyDescent="0.2">
      <c r="A991" t="s">
        <v>36</v>
      </c>
      <c r="B991">
        <v>9</v>
      </c>
      <c r="C991" s="1" t="s">
        <v>51</v>
      </c>
      <c r="D991">
        <v>8</v>
      </c>
      <c r="E991">
        <v>0.38500000000000001</v>
      </c>
      <c r="F991">
        <v>73.69</v>
      </c>
      <c r="G991">
        <v>0.24</v>
      </c>
      <c r="L991">
        <v>5.5E-2</v>
      </c>
      <c r="O991">
        <v>44</v>
      </c>
    </row>
    <row r="992" spans="1:15" x14ac:dyDescent="0.2">
      <c r="A992" t="s">
        <v>36</v>
      </c>
      <c r="B992">
        <v>9</v>
      </c>
      <c r="C992" s="1" t="s">
        <v>51</v>
      </c>
      <c r="D992">
        <v>9</v>
      </c>
      <c r="E992">
        <v>0.39900000000000002</v>
      </c>
      <c r="F992">
        <v>64.33</v>
      </c>
      <c r="G992">
        <v>0.251</v>
      </c>
      <c r="L992">
        <v>5.5E-2</v>
      </c>
      <c r="O992">
        <v>44</v>
      </c>
    </row>
    <row r="993" spans="1:15" x14ac:dyDescent="0.2">
      <c r="A993" t="s">
        <v>36</v>
      </c>
      <c r="B993">
        <v>9</v>
      </c>
      <c r="C993" s="1" t="s">
        <v>49</v>
      </c>
      <c r="D993">
        <v>1</v>
      </c>
      <c r="E993">
        <v>0.317</v>
      </c>
      <c r="F993">
        <v>65.180000000000007</v>
      </c>
      <c r="G993">
        <v>0.224</v>
      </c>
      <c r="L993">
        <v>5.5E-2</v>
      </c>
      <c r="O993">
        <v>2</v>
      </c>
    </row>
    <row r="994" spans="1:15" x14ac:dyDescent="0.2">
      <c r="A994" t="s">
        <v>36</v>
      </c>
      <c r="B994">
        <v>9</v>
      </c>
      <c r="C994" s="1" t="s">
        <v>49</v>
      </c>
      <c r="D994">
        <v>2</v>
      </c>
      <c r="E994">
        <v>0.41199999999999998</v>
      </c>
      <c r="F994">
        <v>55.36</v>
      </c>
      <c r="G994">
        <v>0.191</v>
      </c>
      <c r="L994">
        <v>5.5E-2</v>
      </c>
      <c r="O994">
        <v>2</v>
      </c>
    </row>
    <row r="995" spans="1:15" x14ac:dyDescent="0.2">
      <c r="A995" t="s">
        <v>36</v>
      </c>
      <c r="B995">
        <v>9</v>
      </c>
      <c r="C995" s="1" t="s">
        <v>49</v>
      </c>
      <c r="D995">
        <v>3</v>
      </c>
      <c r="E995">
        <v>0.32200000000000001</v>
      </c>
      <c r="F995">
        <v>48.3</v>
      </c>
      <c r="G995">
        <v>0.3</v>
      </c>
      <c r="L995">
        <v>5.5E-2</v>
      </c>
      <c r="O995">
        <v>2</v>
      </c>
    </row>
    <row r="996" spans="1:15" x14ac:dyDescent="0.2">
      <c r="A996" t="s">
        <v>36</v>
      </c>
      <c r="B996">
        <v>9</v>
      </c>
      <c r="C996" s="1" t="s">
        <v>49</v>
      </c>
      <c r="D996">
        <v>4</v>
      </c>
      <c r="E996">
        <v>0.39400000000000002</v>
      </c>
      <c r="F996">
        <v>57.19</v>
      </c>
      <c r="G996">
        <v>0.40600000000000003</v>
      </c>
      <c r="L996">
        <v>5.5E-2</v>
      </c>
      <c r="O996">
        <v>2</v>
      </c>
    </row>
    <row r="997" spans="1:15" x14ac:dyDescent="0.2">
      <c r="A997" t="s">
        <v>36</v>
      </c>
      <c r="B997">
        <v>9</v>
      </c>
      <c r="C997" s="1" t="s">
        <v>49</v>
      </c>
      <c r="D997">
        <v>5</v>
      </c>
      <c r="E997">
        <v>0.38100000000000001</v>
      </c>
      <c r="F997">
        <v>48.65</v>
      </c>
      <c r="G997">
        <v>0.39300000000000002</v>
      </c>
      <c r="L997">
        <v>5.5E-2</v>
      </c>
      <c r="O997">
        <v>2</v>
      </c>
    </row>
    <row r="998" spans="1:15" x14ac:dyDescent="0.2">
      <c r="A998" t="s">
        <v>36</v>
      </c>
      <c r="B998">
        <v>9</v>
      </c>
      <c r="C998" s="1" t="s">
        <v>49</v>
      </c>
      <c r="D998">
        <v>6</v>
      </c>
      <c r="E998">
        <v>0.36299999999999999</v>
      </c>
      <c r="F998">
        <v>98.12</v>
      </c>
      <c r="G998">
        <v>0.25800000000000001</v>
      </c>
      <c r="L998">
        <v>5.5E-2</v>
      </c>
      <c r="O998">
        <v>2</v>
      </c>
    </row>
    <row r="999" spans="1:15" x14ac:dyDescent="0.2">
      <c r="A999" t="s">
        <v>36</v>
      </c>
      <c r="B999">
        <v>9</v>
      </c>
      <c r="C999" s="1" t="s">
        <v>49</v>
      </c>
      <c r="D999">
        <v>7</v>
      </c>
      <c r="E999">
        <v>0.34599999999999997</v>
      </c>
      <c r="F999">
        <v>110.86</v>
      </c>
      <c r="G999">
        <v>0.28100000000000003</v>
      </c>
      <c r="L999">
        <v>5.5E-2</v>
      </c>
      <c r="O999">
        <v>2</v>
      </c>
    </row>
    <row r="1000" spans="1:15" x14ac:dyDescent="0.2">
      <c r="A1000" t="s">
        <v>36</v>
      </c>
      <c r="B1000">
        <v>9</v>
      </c>
      <c r="C1000" s="1" t="s">
        <v>49</v>
      </c>
      <c r="D1000">
        <v>8</v>
      </c>
      <c r="E1000">
        <v>0.442</v>
      </c>
      <c r="F1000">
        <v>73.84</v>
      </c>
      <c r="G1000">
        <v>0.24099999999999999</v>
      </c>
      <c r="L1000">
        <v>5.5E-2</v>
      </c>
      <c r="O1000">
        <v>2</v>
      </c>
    </row>
    <row r="1001" spans="1:15" x14ac:dyDescent="0.2">
      <c r="A1001" t="s">
        <v>36</v>
      </c>
      <c r="B1001">
        <v>9</v>
      </c>
      <c r="C1001" s="1" t="s">
        <v>49</v>
      </c>
      <c r="D1001">
        <v>9</v>
      </c>
      <c r="E1001">
        <v>0.39300000000000002</v>
      </c>
      <c r="F1001">
        <v>54.01</v>
      </c>
      <c r="G1001">
        <v>0.32</v>
      </c>
      <c r="L1001">
        <v>5.5E-2</v>
      </c>
      <c r="O1001">
        <v>2</v>
      </c>
    </row>
    <row r="1002" spans="1:15" x14ac:dyDescent="0.2">
      <c r="A1002" t="s">
        <v>36</v>
      </c>
      <c r="B1002">
        <v>9</v>
      </c>
      <c r="C1002" s="1" t="s">
        <v>52</v>
      </c>
      <c r="D1002">
        <v>1</v>
      </c>
      <c r="E1002">
        <v>0.34599999999999997</v>
      </c>
      <c r="F1002">
        <v>66.25</v>
      </c>
      <c r="G1002">
        <v>0.31</v>
      </c>
      <c r="L1002">
        <v>5.5E-2</v>
      </c>
      <c r="O1002">
        <v>4</v>
      </c>
    </row>
    <row r="1003" spans="1:15" x14ac:dyDescent="0.2">
      <c r="A1003" t="s">
        <v>36</v>
      </c>
      <c r="B1003">
        <v>9</v>
      </c>
      <c r="C1003" s="1" t="s">
        <v>52</v>
      </c>
      <c r="D1003">
        <v>2</v>
      </c>
      <c r="E1003">
        <v>0.435</v>
      </c>
      <c r="F1003">
        <v>55.32</v>
      </c>
      <c r="G1003">
        <v>0.26500000000000001</v>
      </c>
      <c r="L1003">
        <v>5.5E-2</v>
      </c>
      <c r="O1003">
        <v>4</v>
      </c>
    </row>
    <row r="1004" spans="1:15" x14ac:dyDescent="0.2">
      <c r="A1004" t="s">
        <v>36</v>
      </c>
      <c r="B1004">
        <v>9</v>
      </c>
      <c r="C1004" s="1" t="s">
        <v>52</v>
      </c>
      <c r="D1004">
        <v>3</v>
      </c>
      <c r="E1004">
        <v>0.34</v>
      </c>
      <c r="F1004">
        <v>75.959999999999994</v>
      </c>
      <c r="G1004">
        <v>0.26200000000000001</v>
      </c>
      <c r="L1004">
        <v>5.5E-2</v>
      </c>
      <c r="O1004">
        <v>4</v>
      </c>
    </row>
    <row r="1005" spans="1:15" x14ac:dyDescent="0.2">
      <c r="A1005" t="s">
        <v>36</v>
      </c>
      <c r="B1005">
        <v>9</v>
      </c>
      <c r="C1005" s="1" t="s">
        <v>52</v>
      </c>
      <c r="D1005">
        <v>4</v>
      </c>
      <c r="E1005">
        <v>0.42699999999999999</v>
      </c>
      <c r="F1005">
        <v>57.85</v>
      </c>
      <c r="G1005">
        <v>0.23200000000000001</v>
      </c>
      <c r="L1005">
        <v>5.5E-2</v>
      </c>
      <c r="O1005">
        <v>4</v>
      </c>
    </row>
    <row r="1006" spans="1:15" x14ac:dyDescent="0.2">
      <c r="A1006" t="s">
        <v>36</v>
      </c>
      <c r="B1006">
        <v>9</v>
      </c>
      <c r="C1006" s="1" t="s">
        <v>52</v>
      </c>
      <c r="D1006">
        <v>5</v>
      </c>
      <c r="E1006">
        <v>0.33800000000000002</v>
      </c>
      <c r="F1006">
        <v>55.84</v>
      </c>
      <c r="G1006">
        <v>0.2</v>
      </c>
      <c r="L1006">
        <v>5.5E-2</v>
      </c>
      <c r="O1006">
        <v>4</v>
      </c>
    </row>
    <row r="1007" spans="1:15" x14ac:dyDescent="0.2">
      <c r="A1007" t="s">
        <v>36</v>
      </c>
      <c r="B1007">
        <v>9</v>
      </c>
      <c r="C1007" s="1" t="s">
        <v>52</v>
      </c>
      <c r="D1007">
        <v>6</v>
      </c>
      <c r="E1007">
        <v>0.36599999999999999</v>
      </c>
      <c r="F1007">
        <v>54.78</v>
      </c>
      <c r="G1007">
        <v>0.26600000000000001</v>
      </c>
      <c r="L1007">
        <v>5.5E-2</v>
      </c>
      <c r="O1007">
        <v>4</v>
      </c>
    </row>
    <row r="1008" spans="1:15" x14ac:dyDescent="0.2">
      <c r="A1008" t="s">
        <v>36</v>
      </c>
      <c r="B1008">
        <v>9</v>
      </c>
      <c r="C1008" s="1" t="s">
        <v>52</v>
      </c>
      <c r="D1008">
        <v>7</v>
      </c>
      <c r="E1008">
        <v>0.36299999999999999</v>
      </c>
      <c r="F1008">
        <v>63.88</v>
      </c>
      <c r="G1008">
        <v>0.25800000000000001</v>
      </c>
      <c r="L1008">
        <v>5.5E-2</v>
      </c>
      <c r="O1008">
        <v>4</v>
      </c>
    </row>
    <row r="1009" spans="1:15" x14ac:dyDescent="0.2">
      <c r="A1009" t="s">
        <v>36</v>
      </c>
      <c r="B1009">
        <v>9</v>
      </c>
      <c r="C1009" s="1" t="s">
        <v>52</v>
      </c>
      <c r="D1009">
        <v>8</v>
      </c>
      <c r="E1009">
        <v>0.42899999999999999</v>
      </c>
      <c r="F1009">
        <v>90.88</v>
      </c>
      <c r="G1009">
        <v>0.434</v>
      </c>
      <c r="L1009">
        <v>5.5E-2</v>
      </c>
      <c r="O1009">
        <v>4</v>
      </c>
    </row>
    <row r="1010" spans="1:15" x14ac:dyDescent="0.2">
      <c r="A1010" t="s">
        <v>36</v>
      </c>
      <c r="B1010">
        <v>9</v>
      </c>
      <c r="C1010" s="1" t="s">
        <v>52</v>
      </c>
      <c r="D1010">
        <v>9</v>
      </c>
      <c r="E1010">
        <v>0.32700000000000001</v>
      </c>
      <c r="F1010">
        <v>73.569999999999993</v>
      </c>
      <c r="G1010">
        <v>0.38800000000000001</v>
      </c>
      <c r="L1010">
        <v>5.5E-2</v>
      </c>
      <c r="O1010">
        <v>4</v>
      </c>
    </row>
    <row r="1011" spans="1:15" x14ac:dyDescent="0.2">
      <c r="A1011" t="s">
        <v>36</v>
      </c>
      <c r="B1011">
        <v>9</v>
      </c>
      <c r="C1011" s="1" t="s">
        <v>53</v>
      </c>
      <c r="D1011">
        <v>1</v>
      </c>
      <c r="E1011">
        <v>0.65400000000000003</v>
      </c>
      <c r="F1011">
        <v>7.66</v>
      </c>
      <c r="G1011">
        <v>1.5049999999999999</v>
      </c>
      <c r="L1011">
        <v>5.5E-2</v>
      </c>
      <c r="O1011">
        <v>4</v>
      </c>
    </row>
    <row r="1012" spans="1:15" x14ac:dyDescent="0.2">
      <c r="A1012" t="s">
        <v>36</v>
      </c>
      <c r="B1012">
        <v>9</v>
      </c>
      <c r="C1012" s="1" t="s">
        <v>53</v>
      </c>
      <c r="D1012">
        <v>2</v>
      </c>
      <c r="E1012">
        <v>0.498</v>
      </c>
      <c r="F1012">
        <v>4.5599999999999996</v>
      </c>
      <c r="G1012">
        <v>1.3089999999999999</v>
      </c>
      <c r="L1012">
        <v>5.5E-2</v>
      </c>
      <c r="O1012">
        <v>4</v>
      </c>
    </row>
    <row r="1013" spans="1:15" x14ac:dyDescent="0.2">
      <c r="A1013" t="s">
        <v>36</v>
      </c>
      <c r="B1013">
        <v>9</v>
      </c>
      <c r="C1013" s="1" t="s">
        <v>53</v>
      </c>
      <c r="D1013">
        <v>3</v>
      </c>
      <c r="E1013">
        <v>0.73</v>
      </c>
      <c r="F1013">
        <v>10.09</v>
      </c>
      <c r="G1013">
        <v>1.887</v>
      </c>
      <c r="L1013">
        <v>5.5E-2</v>
      </c>
      <c r="O1013">
        <v>4</v>
      </c>
    </row>
    <row r="1014" spans="1:15" x14ac:dyDescent="0.2">
      <c r="A1014" t="s">
        <v>36</v>
      </c>
      <c r="B1014">
        <v>9</v>
      </c>
      <c r="C1014" s="1" t="s">
        <v>53</v>
      </c>
      <c r="D1014">
        <v>4</v>
      </c>
      <c r="E1014">
        <v>0.54900000000000004</v>
      </c>
      <c r="F1014">
        <v>6.98</v>
      </c>
      <c r="G1014">
        <v>1.147</v>
      </c>
      <c r="L1014">
        <v>5.5E-2</v>
      </c>
      <c r="O1014">
        <v>4</v>
      </c>
    </row>
    <row r="1015" spans="1:15" x14ac:dyDescent="0.2">
      <c r="A1015" t="s">
        <v>36</v>
      </c>
      <c r="B1015">
        <v>9</v>
      </c>
      <c r="C1015" s="1" t="s">
        <v>53</v>
      </c>
      <c r="D1015">
        <v>5</v>
      </c>
      <c r="E1015">
        <v>0.70199999999999996</v>
      </c>
      <c r="F1015">
        <v>6.4</v>
      </c>
      <c r="G1015">
        <v>1.1950000000000001</v>
      </c>
      <c r="L1015">
        <v>5.5E-2</v>
      </c>
      <c r="O1015">
        <v>4</v>
      </c>
    </row>
    <row r="1016" spans="1:15" x14ac:dyDescent="0.2">
      <c r="A1016" t="s">
        <v>36</v>
      </c>
      <c r="B1016">
        <v>9</v>
      </c>
      <c r="C1016" s="1" t="s">
        <v>53</v>
      </c>
      <c r="D1016">
        <v>6</v>
      </c>
      <c r="E1016">
        <v>0.60099999999999998</v>
      </c>
      <c r="F1016">
        <v>7.02</v>
      </c>
      <c r="G1016">
        <v>1.726</v>
      </c>
      <c r="L1016">
        <v>5.5E-2</v>
      </c>
      <c r="O1016">
        <v>4</v>
      </c>
    </row>
    <row r="1017" spans="1:15" x14ac:dyDescent="0.2">
      <c r="A1017" t="s">
        <v>36</v>
      </c>
      <c r="B1017">
        <v>9</v>
      </c>
      <c r="C1017" s="1" t="s">
        <v>53</v>
      </c>
      <c r="D1017">
        <v>7</v>
      </c>
      <c r="E1017">
        <v>0.98199999999999998</v>
      </c>
      <c r="F1017">
        <v>4.84</v>
      </c>
      <c r="G1017">
        <v>1.264</v>
      </c>
      <c r="L1017">
        <v>5.5E-2</v>
      </c>
      <c r="O1017">
        <v>4</v>
      </c>
    </row>
    <row r="1018" spans="1:15" x14ac:dyDescent="0.2">
      <c r="A1018" t="s">
        <v>36</v>
      </c>
      <c r="B1018">
        <v>9</v>
      </c>
      <c r="C1018" s="1" t="s">
        <v>53</v>
      </c>
      <c r="D1018">
        <v>8</v>
      </c>
      <c r="E1018">
        <v>0.92300000000000004</v>
      </c>
      <c r="F1018">
        <v>6.13</v>
      </c>
      <c r="G1018">
        <v>1.3520000000000001</v>
      </c>
      <c r="L1018">
        <v>5.5E-2</v>
      </c>
      <c r="O1018">
        <v>4</v>
      </c>
    </row>
    <row r="1019" spans="1:15" x14ac:dyDescent="0.2">
      <c r="A1019" t="s">
        <v>36</v>
      </c>
      <c r="B1019">
        <v>9</v>
      </c>
      <c r="C1019" s="1" t="s">
        <v>53</v>
      </c>
      <c r="D1019">
        <v>9</v>
      </c>
      <c r="E1019">
        <v>0.6</v>
      </c>
      <c r="F1019">
        <v>6.31</v>
      </c>
      <c r="G1019">
        <v>1.101</v>
      </c>
      <c r="L1019">
        <v>5.5E-2</v>
      </c>
      <c r="O1019">
        <v>4</v>
      </c>
    </row>
    <row r="1020" spans="1:15" x14ac:dyDescent="0.2">
      <c r="A1020" t="s">
        <v>36</v>
      </c>
      <c r="B1020">
        <v>9</v>
      </c>
      <c r="C1020" s="1" t="s">
        <v>54</v>
      </c>
      <c r="D1020">
        <v>1</v>
      </c>
      <c r="E1020">
        <v>0.35699999999999998</v>
      </c>
      <c r="F1020">
        <v>41.04</v>
      </c>
      <c r="G1020">
        <v>0.441</v>
      </c>
      <c r="L1020">
        <v>5.5E-2</v>
      </c>
      <c r="O1020">
        <v>3</v>
      </c>
    </row>
    <row r="1021" spans="1:15" x14ac:dyDescent="0.2">
      <c r="A1021" t="s">
        <v>36</v>
      </c>
      <c r="B1021">
        <v>9</v>
      </c>
      <c r="C1021" s="1" t="s">
        <v>54</v>
      </c>
      <c r="D1021">
        <v>2</v>
      </c>
      <c r="E1021">
        <v>0.379</v>
      </c>
      <c r="F1021">
        <v>46.7</v>
      </c>
      <c r="G1021">
        <v>0.438</v>
      </c>
      <c r="L1021">
        <v>5.5E-2</v>
      </c>
      <c r="O1021">
        <v>3</v>
      </c>
    </row>
    <row r="1022" spans="1:15" x14ac:dyDescent="0.2">
      <c r="A1022" t="s">
        <v>36</v>
      </c>
      <c r="B1022">
        <v>9</v>
      </c>
      <c r="C1022" s="1" t="s">
        <v>54</v>
      </c>
      <c r="D1022">
        <v>3</v>
      </c>
      <c r="E1022">
        <v>0.32400000000000001</v>
      </c>
      <c r="F1022">
        <v>43</v>
      </c>
      <c r="G1022">
        <v>0.72499999999999998</v>
      </c>
      <c r="L1022">
        <v>5.5E-2</v>
      </c>
      <c r="O1022">
        <v>3</v>
      </c>
    </row>
    <row r="1023" spans="1:15" x14ac:dyDescent="0.2">
      <c r="A1023" t="s">
        <v>36</v>
      </c>
      <c r="B1023">
        <v>9</v>
      </c>
      <c r="C1023" s="1" t="s">
        <v>54</v>
      </c>
      <c r="D1023">
        <v>4</v>
      </c>
      <c r="E1023">
        <v>0.307</v>
      </c>
      <c r="F1023">
        <v>43.29</v>
      </c>
      <c r="G1023">
        <v>0.38600000000000001</v>
      </c>
      <c r="L1023">
        <v>5.5E-2</v>
      </c>
      <c r="O1023">
        <v>3</v>
      </c>
    </row>
    <row r="1024" spans="1:15" x14ac:dyDescent="0.2">
      <c r="A1024" t="s">
        <v>36</v>
      </c>
      <c r="B1024">
        <v>9</v>
      </c>
      <c r="C1024" s="1" t="s">
        <v>54</v>
      </c>
      <c r="D1024">
        <v>5</v>
      </c>
      <c r="E1024">
        <v>0.35599999999999998</v>
      </c>
      <c r="F1024">
        <v>44.92</v>
      </c>
      <c r="G1024">
        <v>0.68799999999999994</v>
      </c>
      <c r="L1024">
        <v>5.5E-2</v>
      </c>
      <c r="O1024">
        <v>3</v>
      </c>
    </row>
    <row r="1025" spans="1:15" x14ac:dyDescent="0.2">
      <c r="A1025" t="s">
        <v>36</v>
      </c>
      <c r="B1025">
        <v>9</v>
      </c>
      <c r="C1025" s="1" t="s">
        <v>54</v>
      </c>
      <c r="D1025">
        <v>6</v>
      </c>
      <c r="E1025">
        <v>0.315</v>
      </c>
      <c r="F1025">
        <v>38.450000000000003</v>
      </c>
      <c r="G1025">
        <v>0.80600000000000005</v>
      </c>
      <c r="L1025">
        <v>5.5E-2</v>
      </c>
      <c r="O1025">
        <v>3</v>
      </c>
    </row>
    <row r="1026" spans="1:15" x14ac:dyDescent="0.2">
      <c r="A1026" t="s">
        <v>36</v>
      </c>
      <c r="B1026">
        <v>9</v>
      </c>
      <c r="C1026" s="1" t="s">
        <v>54</v>
      </c>
      <c r="D1026">
        <v>7</v>
      </c>
      <c r="E1026">
        <v>0.29899999999999999</v>
      </c>
      <c r="F1026">
        <v>38.75</v>
      </c>
      <c r="G1026">
        <v>0.82699999999999996</v>
      </c>
      <c r="L1026">
        <v>5.5E-2</v>
      </c>
      <c r="O1026">
        <v>3</v>
      </c>
    </row>
    <row r="1027" spans="1:15" x14ac:dyDescent="0.2">
      <c r="A1027" t="s">
        <v>36</v>
      </c>
      <c r="B1027">
        <v>9</v>
      </c>
      <c r="C1027" s="1" t="s">
        <v>54</v>
      </c>
      <c r="D1027">
        <v>8</v>
      </c>
      <c r="E1027">
        <v>0.29299999999999998</v>
      </c>
      <c r="F1027">
        <v>41.23</v>
      </c>
      <c r="G1027">
        <v>0.74299999999999999</v>
      </c>
      <c r="L1027">
        <v>5.5E-2</v>
      </c>
      <c r="O1027">
        <v>3</v>
      </c>
    </row>
    <row r="1028" spans="1:15" x14ac:dyDescent="0.2">
      <c r="A1028" t="s">
        <v>36</v>
      </c>
      <c r="B1028">
        <v>9</v>
      </c>
      <c r="C1028" s="1" t="s">
        <v>54</v>
      </c>
      <c r="D1028">
        <v>9</v>
      </c>
      <c r="E1028">
        <v>0.34399999999999997</v>
      </c>
      <c r="F1028">
        <v>37.69</v>
      </c>
      <c r="G1028">
        <v>0.70799999999999996</v>
      </c>
      <c r="L1028">
        <v>5.5E-2</v>
      </c>
      <c r="O1028">
        <v>3</v>
      </c>
    </row>
    <row r="1029" spans="1:15" x14ac:dyDescent="0.2">
      <c r="A1029" t="s">
        <v>36</v>
      </c>
      <c r="B1029">
        <v>9</v>
      </c>
      <c r="C1029" s="1" t="s">
        <v>47</v>
      </c>
      <c r="D1029">
        <v>1</v>
      </c>
      <c r="E1029">
        <v>0.316</v>
      </c>
      <c r="F1029">
        <v>17.899999999999999</v>
      </c>
      <c r="G1029">
        <v>2.1760000000000002</v>
      </c>
      <c r="L1029">
        <v>5.5E-2</v>
      </c>
      <c r="O1029">
        <v>1</v>
      </c>
    </row>
    <row r="1030" spans="1:15" x14ac:dyDescent="0.2">
      <c r="A1030" t="s">
        <v>36</v>
      </c>
      <c r="B1030">
        <v>9</v>
      </c>
      <c r="C1030" s="1" t="s">
        <v>47</v>
      </c>
      <c r="D1030">
        <v>2</v>
      </c>
      <c r="E1030">
        <v>0.252</v>
      </c>
      <c r="F1030">
        <v>13.73</v>
      </c>
      <c r="G1030">
        <v>2.4220000000000002</v>
      </c>
      <c r="L1030">
        <v>5.5E-2</v>
      </c>
      <c r="O1030">
        <v>1</v>
      </c>
    </row>
    <row r="1031" spans="1:15" x14ac:dyDescent="0.2">
      <c r="A1031" t="s">
        <v>36</v>
      </c>
      <c r="B1031">
        <v>9</v>
      </c>
      <c r="C1031" s="1" t="s">
        <v>47</v>
      </c>
      <c r="D1031">
        <v>3</v>
      </c>
      <c r="E1031">
        <v>0.34599999999999997</v>
      </c>
      <c r="F1031">
        <v>17.190000000000001</v>
      </c>
      <c r="G1031">
        <v>1.6379999999999999</v>
      </c>
      <c r="L1031">
        <v>5.5E-2</v>
      </c>
      <c r="O1031">
        <v>1</v>
      </c>
    </row>
    <row r="1032" spans="1:15" x14ac:dyDescent="0.2">
      <c r="A1032" t="s">
        <v>36</v>
      </c>
      <c r="B1032">
        <v>9</v>
      </c>
      <c r="C1032" s="1" t="s">
        <v>47</v>
      </c>
      <c r="D1032">
        <v>4</v>
      </c>
      <c r="E1032">
        <v>0.29699999999999999</v>
      </c>
      <c r="F1032">
        <v>12.57</v>
      </c>
      <c r="G1032">
        <v>2.492</v>
      </c>
      <c r="L1032">
        <v>5.5E-2</v>
      </c>
      <c r="O1032">
        <v>1</v>
      </c>
    </row>
    <row r="1033" spans="1:15" x14ac:dyDescent="0.2">
      <c r="A1033" t="s">
        <v>36</v>
      </c>
      <c r="B1033">
        <v>9</v>
      </c>
      <c r="C1033" s="1" t="s">
        <v>47</v>
      </c>
      <c r="D1033">
        <v>5</v>
      </c>
      <c r="E1033">
        <v>0.30399999999999999</v>
      </c>
      <c r="F1033">
        <v>27.52</v>
      </c>
      <c r="G1033">
        <v>1.962</v>
      </c>
      <c r="L1033">
        <v>5.5E-2</v>
      </c>
      <c r="O1033">
        <v>1</v>
      </c>
    </row>
    <row r="1034" spans="1:15" x14ac:dyDescent="0.2">
      <c r="A1034" t="s">
        <v>36</v>
      </c>
      <c r="B1034">
        <v>9</v>
      </c>
      <c r="C1034" s="1" t="s">
        <v>47</v>
      </c>
      <c r="D1034">
        <v>6</v>
      </c>
      <c r="E1034">
        <v>0.34899999999999998</v>
      </c>
      <c r="F1034">
        <v>18.66</v>
      </c>
      <c r="G1034">
        <v>1.7430000000000001</v>
      </c>
      <c r="L1034">
        <v>5.5E-2</v>
      </c>
      <c r="O1034">
        <v>1</v>
      </c>
    </row>
    <row r="1035" spans="1:15" x14ac:dyDescent="0.2">
      <c r="A1035" t="s">
        <v>36</v>
      </c>
      <c r="B1035">
        <v>9</v>
      </c>
      <c r="C1035" s="1" t="s">
        <v>47</v>
      </c>
      <c r="D1035">
        <v>7</v>
      </c>
      <c r="E1035">
        <v>0.32800000000000001</v>
      </c>
      <c r="F1035">
        <v>20.48</v>
      </c>
      <c r="G1035">
        <v>1.431</v>
      </c>
      <c r="L1035">
        <v>5.5E-2</v>
      </c>
      <c r="O1035">
        <v>1</v>
      </c>
    </row>
    <row r="1036" spans="1:15" x14ac:dyDescent="0.2">
      <c r="A1036" t="s">
        <v>36</v>
      </c>
      <c r="B1036">
        <v>9</v>
      </c>
      <c r="C1036" s="1" t="s">
        <v>47</v>
      </c>
      <c r="D1036">
        <v>8</v>
      </c>
      <c r="E1036">
        <v>0.28699999999999998</v>
      </c>
      <c r="F1036">
        <v>16.8</v>
      </c>
      <c r="G1036">
        <v>2.4750000000000001</v>
      </c>
      <c r="L1036">
        <v>5.5E-2</v>
      </c>
      <c r="O1036">
        <v>1</v>
      </c>
    </row>
    <row r="1037" spans="1:15" x14ac:dyDescent="0.2">
      <c r="A1037" t="s">
        <v>36</v>
      </c>
      <c r="B1037">
        <v>9</v>
      </c>
      <c r="C1037" s="1" t="s">
        <v>47</v>
      </c>
      <c r="D1037">
        <v>9</v>
      </c>
      <c r="E1037">
        <v>0.29499999999999998</v>
      </c>
      <c r="F1037">
        <v>15.04</v>
      </c>
      <c r="G1037">
        <v>1.6559999999999999</v>
      </c>
      <c r="L1037">
        <v>5.5E-2</v>
      </c>
      <c r="O1037">
        <v>1</v>
      </c>
    </row>
    <row r="1038" spans="1:15" x14ac:dyDescent="0.2">
      <c r="A1038" t="s">
        <v>36</v>
      </c>
      <c r="B1038">
        <v>9</v>
      </c>
      <c r="C1038" s="1" t="s">
        <v>57</v>
      </c>
      <c r="D1038">
        <v>1</v>
      </c>
      <c r="E1038">
        <v>0.78800000000000003</v>
      </c>
      <c r="F1038">
        <v>7.96</v>
      </c>
      <c r="G1038">
        <v>0.314</v>
      </c>
      <c r="L1038">
        <v>5.5E-2</v>
      </c>
      <c r="O1038">
        <v>1</v>
      </c>
    </row>
    <row r="1039" spans="1:15" x14ac:dyDescent="0.2">
      <c r="A1039" t="s">
        <v>36</v>
      </c>
      <c r="B1039">
        <v>9</v>
      </c>
      <c r="C1039" s="1" t="s">
        <v>57</v>
      </c>
      <c r="D1039">
        <v>2</v>
      </c>
      <c r="E1039">
        <v>0.80800000000000005</v>
      </c>
      <c r="F1039">
        <v>6.7</v>
      </c>
      <c r="G1039">
        <v>0.20300000000000001</v>
      </c>
      <c r="L1039">
        <v>5.5E-2</v>
      </c>
      <c r="O1039">
        <v>1</v>
      </c>
    </row>
    <row r="1040" spans="1:15" x14ac:dyDescent="0.2">
      <c r="A1040" t="s">
        <v>36</v>
      </c>
      <c r="B1040">
        <v>9</v>
      </c>
      <c r="C1040" s="1" t="s">
        <v>57</v>
      </c>
      <c r="D1040">
        <v>3</v>
      </c>
      <c r="E1040">
        <v>0.67600000000000005</v>
      </c>
      <c r="F1040">
        <v>6.04</v>
      </c>
      <c r="G1040">
        <v>0.29699999999999999</v>
      </c>
      <c r="L1040">
        <v>5.5E-2</v>
      </c>
      <c r="O1040">
        <v>1</v>
      </c>
    </row>
    <row r="1041" spans="1:15" x14ac:dyDescent="0.2">
      <c r="A1041" t="s">
        <v>36</v>
      </c>
      <c r="B1041">
        <v>9</v>
      </c>
      <c r="C1041" s="1" t="s">
        <v>57</v>
      </c>
      <c r="D1041">
        <v>4</v>
      </c>
      <c r="E1041">
        <v>0.51600000000000001</v>
      </c>
      <c r="F1041">
        <v>7.15</v>
      </c>
      <c r="G1041">
        <v>0.20399999999999999</v>
      </c>
      <c r="L1041">
        <v>5.5E-2</v>
      </c>
      <c r="O1041">
        <v>1</v>
      </c>
    </row>
    <row r="1042" spans="1:15" x14ac:dyDescent="0.2">
      <c r="A1042" t="s">
        <v>36</v>
      </c>
      <c r="B1042">
        <v>9</v>
      </c>
      <c r="C1042" s="1" t="s">
        <v>57</v>
      </c>
      <c r="D1042">
        <v>5</v>
      </c>
      <c r="E1042">
        <v>0.51600000000000001</v>
      </c>
      <c r="F1042">
        <v>6.82</v>
      </c>
      <c r="G1042">
        <v>0.188</v>
      </c>
      <c r="L1042">
        <v>5.5E-2</v>
      </c>
      <c r="O1042">
        <v>1</v>
      </c>
    </row>
    <row r="1043" spans="1:15" x14ac:dyDescent="0.2">
      <c r="A1043" t="s">
        <v>36</v>
      </c>
      <c r="B1043">
        <v>9</v>
      </c>
      <c r="C1043" s="1" t="s">
        <v>57</v>
      </c>
      <c r="D1043">
        <v>6</v>
      </c>
      <c r="E1043">
        <v>0.52</v>
      </c>
      <c r="F1043">
        <v>10.4</v>
      </c>
      <c r="G1043">
        <v>0.218</v>
      </c>
      <c r="L1043">
        <v>5.5E-2</v>
      </c>
      <c r="O1043">
        <v>1</v>
      </c>
    </row>
    <row r="1044" spans="1:15" x14ac:dyDescent="0.2">
      <c r="A1044" t="s">
        <v>36</v>
      </c>
      <c r="B1044">
        <v>9</v>
      </c>
      <c r="C1044" s="1" t="s">
        <v>57</v>
      </c>
      <c r="D1044">
        <v>7</v>
      </c>
      <c r="E1044">
        <v>0.75800000000000001</v>
      </c>
      <c r="F1044">
        <v>6.03</v>
      </c>
      <c r="G1044">
        <v>0.379</v>
      </c>
      <c r="L1044">
        <v>5.5E-2</v>
      </c>
      <c r="O1044">
        <v>1</v>
      </c>
    </row>
    <row r="1045" spans="1:15" x14ac:dyDescent="0.2">
      <c r="A1045" t="s">
        <v>36</v>
      </c>
      <c r="B1045">
        <v>9</v>
      </c>
      <c r="C1045" s="1" t="s">
        <v>57</v>
      </c>
      <c r="D1045">
        <v>8</v>
      </c>
      <c r="E1045">
        <v>1</v>
      </c>
      <c r="F1045">
        <v>6.94</v>
      </c>
      <c r="G1045">
        <v>0.23799999999999999</v>
      </c>
      <c r="L1045">
        <v>5.5E-2</v>
      </c>
      <c r="O1045">
        <v>1</v>
      </c>
    </row>
    <row r="1046" spans="1:15" x14ac:dyDescent="0.2">
      <c r="A1046" t="s">
        <v>36</v>
      </c>
      <c r="B1046">
        <v>9</v>
      </c>
      <c r="C1046" s="1" t="s">
        <v>57</v>
      </c>
      <c r="D1046">
        <v>9</v>
      </c>
      <c r="E1046">
        <v>0.55500000000000005</v>
      </c>
      <c r="F1046">
        <v>6.11</v>
      </c>
      <c r="G1046">
        <v>0.13800000000000001</v>
      </c>
      <c r="L1046">
        <v>5.5E-2</v>
      </c>
      <c r="O1046">
        <v>1</v>
      </c>
    </row>
    <row r="1047" spans="1:15" x14ac:dyDescent="0.2">
      <c r="A1047" t="s">
        <v>36</v>
      </c>
      <c r="B1047">
        <v>9</v>
      </c>
      <c r="C1047" s="1" t="s">
        <v>55</v>
      </c>
      <c r="D1047">
        <v>1</v>
      </c>
      <c r="E1047">
        <v>0.61899999999999999</v>
      </c>
      <c r="F1047">
        <v>5.18</v>
      </c>
      <c r="G1047">
        <v>0.154</v>
      </c>
      <c r="L1047">
        <v>5.5E-2</v>
      </c>
      <c r="O1047">
        <v>1</v>
      </c>
    </row>
    <row r="1048" spans="1:15" x14ac:dyDescent="0.2">
      <c r="A1048" t="s">
        <v>36</v>
      </c>
      <c r="B1048">
        <v>9</v>
      </c>
      <c r="C1048" s="1" t="s">
        <v>55</v>
      </c>
      <c r="D1048">
        <v>2</v>
      </c>
      <c r="E1048">
        <v>0.754</v>
      </c>
      <c r="F1048">
        <v>6.05</v>
      </c>
      <c r="G1048">
        <v>0.221</v>
      </c>
      <c r="L1048">
        <v>5.5E-2</v>
      </c>
      <c r="O1048">
        <v>1</v>
      </c>
    </row>
    <row r="1049" spans="1:15" x14ac:dyDescent="0.2">
      <c r="A1049" t="s">
        <v>36</v>
      </c>
      <c r="B1049">
        <v>9</v>
      </c>
      <c r="C1049" s="1" t="s">
        <v>55</v>
      </c>
      <c r="D1049">
        <v>3</v>
      </c>
      <c r="E1049">
        <v>0.68</v>
      </c>
      <c r="F1049">
        <v>7.04</v>
      </c>
      <c r="G1049">
        <v>0.23899999999999999</v>
      </c>
      <c r="L1049">
        <v>5.5E-2</v>
      </c>
      <c r="O1049">
        <v>1</v>
      </c>
    </row>
    <row r="1050" spans="1:15" x14ac:dyDescent="0.2">
      <c r="A1050" t="s">
        <v>36</v>
      </c>
      <c r="B1050">
        <v>9</v>
      </c>
      <c r="C1050" s="1" t="s">
        <v>55</v>
      </c>
      <c r="D1050">
        <v>4</v>
      </c>
      <c r="E1050">
        <v>0.49299999999999999</v>
      </c>
      <c r="F1050">
        <v>5.76</v>
      </c>
      <c r="G1050">
        <v>0.17</v>
      </c>
      <c r="L1050">
        <v>5.5E-2</v>
      </c>
      <c r="O1050">
        <v>1</v>
      </c>
    </row>
    <row r="1051" spans="1:15" x14ac:dyDescent="0.2">
      <c r="A1051" t="s">
        <v>36</v>
      </c>
      <c r="B1051">
        <v>9</v>
      </c>
      <c r="C1051" s="1" t="s">
        <v>55</v>
      </c>
      <c r="D1051">
        <v>5</v>
      </c>
      <c r="E1051">
        <v>0.55700000000000005</v>
      </c>
      <c r="F1051">
        <v>7.27</v>
      </c>
      <c r="G1051">
        <v>0.13700000000000001</v>
      </c>
      <c r="L1051">
        <v>5.5E-2</v>
      </c>
      <c r="O1051">
        <v>1</v>
      </c>
    </row>
    <row r="1052" spans="1:15" x14ac:dyDescent="0.2">
      <c r="A1052" t="s">
        <v>36</v>
      </c>
      <c r="B1052">
        <v>9</v>
      </c>
      <c r="C1052" s="1" t="s">
        <v>55</v>
      </c>
      <c r="D1052">
        <v>6</v>
      </c>
      <c r="E1052">
        <v>0.83599999999999997</v>
      </c>
      <c r="F1052">
        <v>7.57</v>
      </c>
      <c r="G1052">
        <v>0.22800000000000001</v>
      </c>
      <c r="L1052">
        <v>5.5E-2</v>
      </c>
      <c r="O1052">
        <v>1</v>
      </c>
    </row>
    <row r="1053" spans="1:15" x14ac:dyDescent="0.2">
      <c r="A1053" t="s">
        <v>36</v>
      </c>
      <c r="B1053">
        <v>9</v>
      </c>
      <c r="C1053" s="1" t="s">
        <v>55</v>
      </c>
      <c r="D1053">
        <v>7</v>
      </c>
      <c r="E1053">
        <v>0.621</v>
      </c>
      <c r="F1053">
        <v>4.88</v>
      </c>
      <c r="G1053">
        <v>0.19</v>
      </c>
      <c r="L1053">
        <v>5.5E-2</v>
      </c>
      <c r="O1053">
        <v>1</v>
      </c>
    </row>
    <row r="1054" spans="1:15" x14ac:dyDescent="0.2">
      <c r="A1054" t="s">
        <v>36</v>
      </c>
      <c r="B1054">
        <v>9</v>
      </c>
      <c r="C1054" s="1" t="s">
        <v>55</v>
      </c>
      <c r="D1054">
        <v>8</v>
      </c>
      <c r="E1054">
        <v>0.58399999999999996</v>
      </c>
      <c r="F1054">
        <v>5.91</v>
      </c>
      <c r="G1054">
        <v>0.23799999999999999</v>
      </c>
      <c r="L1054">
        <v>5.5E-2</v>
      </c>
      <c r="O1054">
        <v>1</v>
      </c>
    </row>
    <row r="1055" spans="1:15" x14ac:dyDescent="0.2">
      <c r="A1055" t="s">
        <v>36</v>
      </c>
      <c r="B1055">
        <v>9</v>
      </c>
      <c r="C1055" s="1" t="s">
        <v>55</v>
      </c>
      <c r="D1055">
        <v>9</v>
      </c>
      <c r="E1055">
        <v>0.58499999999999996</v>
      </c>
      <c r="F1055">
        <v>8.02</v>
      </c>
      <c r="G1055">
        <v>0.19800000000000001</v>
      </c>
      <c r="L1055">
        <v>5.5E-2</v>
      </c>
      <c r="O1055">
        <v>1</v>
      </c>
    </row>
    <row r="1056" spans="1:15" x14ac:dyDescent="0.2">
      <c r="A1056" t="s">
        <v>36</v>
      </c>
      <c r="B1056">
        <v>9</v>
      </c>
      <c r="C1056" s="1" t="s">
        <v>50</v>
      </c>
      <c r="D1056">
        <v>1</v>
      </c>
      <c r="E1056">
        <v>0.123</v>
      </c>
      <c r="F1056">
        <v>7.97</v>
      </c>
      <c r="G1056">
        <v>1E-3</v>
      </c>
      <c r="L1056">
        <v>5.5E-2</v>
      </c>
      <c r="O1056">
        <v>32</v>
      </c>
    </row>
    <row r="1057" spans="1:15" x14ac:dyDescent="0.2">
      <c r="A1057" t="s">
        <v>36</v>
      </c>
      <c r="B1057">
        <v>9</v>
      </c>
      <c r="C1057" s="1" t="s">
        <v>50</v>
      </c>
      <c r="D1057">
        <v>2</v>
      </c>
      <c r="E1057">
        <v>0.13800000000000001</v>
      </c>
      <c r="F1057">
        <v>7.52</v>
      </c>
      <c r="G1057">
        <v>1E-3</v>
      </c>
      <c r="L1057">
        <v>5.5E-2</v>
      </c>
      <c r="O1057">
        <v>32</v>
      </c>
    </row>
    <row r="1058" spans="1:15" x14ac:dyDescent="0.2">
      <c r="A1058" t="s">
        <v>36</v>
      </c>
      <c r="B1058">
        <v>9</v>
      </c>
      <c r="C1058" s="1" t="s">
        <v>50</v>
      </c>
      <c r="D1058">
        <v>3</v>
      </c>
      <c r="E1058">
        <v>0.105</v>
      </c>
      <c r="F1058">
        <v>7.94</v>
      </c>
      <c r="G1058">
        <v>1E-3</v>
      </c>
      <c r="L1058">
        <v>5.5E-2</v>
      </c>
      <c r="O1058">
        <v>32</v>
      </c>
    </row>
    <row r="1059" spans="1:15" x14ac:dyDescent="0.2">
      <c r="A1059" t="s">
        <v>36</v>
      </c>
      <c r="B1059">
        <v>9</v>
      </c>
      <c r="C1059" s="1" t="s">
        <v>50</v>
      </c>
      <c r="D1059">
        <v>4</v>
      </c>
      <c r="E1059">
        <v>0.14000000000000001</v>
      </c>
      <c r="F1059">
        <v>7.21</v>
      </c>
      <c r="G1059">
        <v>1E-3</v>
      </c>
      <c r="L1059">
        <v>5.5E-2</v>
      </c>
      <c r="O1059">
        <v>32</v>
      </c>
    </row>
    <row r="1060" spans="1:15" x14ac:dyDescent="0.2">
      <c r="A1060" t="s">
        <v>36</v>
      </c>
      <c r="B1060">
        <v>9</v>
      </c>
      <c r="C1060" s="1" t="s">
        <v>50</v>
      </c>
      <c r="D1060">
        <v>5</v>
      </c>
      <c r="E1060">
        <v>0.13600000000000001</v>
      </c>
      <c r="F1060">
        <v>8.01</v>
      </c>
      <c r="G1060">
        <v>2E-3</v>
      </c>
      <c r="L1060">
        <v>5.5E-2</v>
      </c>
      <c r="O1060">
        <v>32</v>
      </c>
    </row>
    <row r="1061" spans="1:15" x14ac:dyDescent="0.2">
      <c r="A1061" t="s">
        <v>36</v>
      </c>
      <c r="B1061">
        <v>9</v>
      </c>
      <c r="C1061" s="1" t="s">
        <v>50</v>
      </c>
      <c r="D1061">
        <v>6</v>
      </c>
      <c r="E1061">
        <v>0.14299999999999999</v>
      </c>
      <c r="F1061">
        <v>7.52</v>
      </c>
      <c r="G1061">
        <v>2E-3</v>
      </c>
      <c r="L1061">
        <v>5.5E-2</v>
      </c>
      <c r="O1061">
        <v>32</v>
      </c>
    </row>
    <row r="1062" spans="1:15" x14ac:dyDescent="0.2">
      <c r="A1062" t="s">
        <v>36</v>
      </c>
      <c r="B1062">
        <v>9</v>
      </c>
      <c r="C1062" s="1" t="s">
        <v>50</v>
      </c>
      <c r="D1062">
        <v>7</v>
      </c>
      <c r="E1062">
        <v>0.155</v>
      </c>
      <c r="F1062">
        <v>8.2100000000000009</v>
      </c>
      <c r="G1062">
        <v>2E-3</v>
      </c>
      <c r="L1062">
        <v>5.5E-2</v>
      </c>
      <c r="O1062">
        <v>32</v>
      </c>
    </row>
    <row r="1063" spans="1:15" x14ac:dyDescent="0.2">
      <c r="A1063" t="s">
        <v>36</v>
      </c>
      <c r="B1063">
        <v>9</v>
      </c>
      <c r="C1063" s="1" t="s">
        <v>50</v>
      </c>
      <c r="D1063">
        <v>8</v>
      </c>
      <c r="E1063">
        <v>0.18099999999999999</v>
      </c>
      <c r="F1063">
        <v>7.54</v>
      </c>
      <c r="G1063">
        <v>1E-3</v>
      </c>
      <c r="L1063">
        <v>5.5E-2</v>
      </c>
      <c r="O1063">
        <v>32</v>
      </c>
    </row>
    <row r="1064" spans="1:15" x14ac:dyDescent="0.2">
      <c r="A1064" t="s">
        <v>36</v>
      </c>
      <c r="B1064">
        <v>9</v>
      </c>
      <c r="C1064" s="1" t="s">
        <v>50</v>
      </c>
      <c r="D1064">
        <v>9</v>
      </c>
      <c r="E1064">
        <v>0.126</v>
      </c>
      <c r="F1064">
        <v>7.69</v>
      </c>
      <c r="G1064">
        <v>1E-3</v>
      </c>
      <c r="L1064">
        <v>5.5E-2</v>
      </c>
      <c r="O1064">
        <v>32</v>
      </c>
    </row>
    <row r="1065" spans="1:15" x14ac:dyDescent="0.2">
      <c r="A1065" t="s">
        <v>36</v>
      </c>
      <c r="B1065">
        <v>9</v>
      </c>
      <c r="C1065" s="1" t="s">
        <v>56</v>
      </c>
      <c r="D1065">
        <v>1</v>
      </c>
      <c r="E1065">
        <v>1.123</v>
      </c>
      <c r="F1065">
        <v>20.63</v>
      </c>
      <c r="G1065">
        <v>0.13500000000000001</v>
      </c>
      <c r="L1065">
        <v>5.5E-2</v>
      </c>
      <c r="O1065">
        <v>5</v>
      </c>
    </row>
    <row r="1066" spans="1:15" x14ac:dyDescent="0.2">
      <c r="A1066" t="s">
        <v>36</v>
      </c>
      <c r="B1066">
        <v>9</v>
      </c>
      <c r="C1066" s="1" t="s">
        <v>56</v>
      </c>
      <c r="D1066">
        <v>2</v>
      </c>
      <c r="E1066">
        <v>0.91100000000000003</v>
      </c>
      <c r="F1066">
        <v>22.31</v>
      </c>
      <c r="G1066">
        <v>0.12</v>
      </c>
      <c r="L1066">
        <v>5.5E-2</v>
      </c>
      <c r="O1066">
        <v>5</v>
      </c>
    </row>
    <row r="1067" spans="1:15" x14ac:dyDescent="0.2">
      <c r="A1067" t="s">
        <v>36</v>
      </c>
      <c r="B1067">
        <v>9</v>
      </c>
      <c r="C1067" s="1" t="s">
        <v>56</v>
      </c>
      <c r="D1067">
        <v>3</v>
      </c>
      <c r="E1067">
        <v>1.1599999999999999</v>
      </c>
      <c r="F1067">
        <v>22.79</v>
      </c>
      <c r="G1067">
        <v>0.1</v>
      </c>
      <c r="L1067">
        <v>5.5E-2</v>
      </c>
      <c r="O1067">
        <v>5</v>
      </c>
    </row>
    <row r="1068" spans="1:15" x14ac:dyDescent="0.2">
      <c r="A1068" t="s">
        <v>36</v>
      </c>
      <c r="B1068">
        <v>9</v>
      </c>
      <c r="C1068" s="1" t="s">
        <v>56</v>
      </c>
      <c r="D1068">
        <v>4</v>
      </c>
      <c r="E1068">
        <v>1.554</v>
      </c>
      <c r="F1068">
        <v>21.58</v>
      </c>
      <c r="G1068">
        <v>0.13300000000000001</v>
      </c>
      <c r="L1068">
        <v>5.5E-2</v>
      </c>
      <c r="O1068">
        <v>5</v>
      </c>
    </row>
    <row r="1069" spans="1:15" x14ac:dyDescent="0.2">
      <c r="A1069" t="s">
        <v>36</v>
      </c>
      <c r="B1069">
        <v>9</v>
      </c>
      <c r="C1069" s="1" t="s">
        <v>56</v>
      </c>
      <c r="D1069">
        <v>5</v>
      </c>
      <c r="E1069">
        <v>1.1579999999999999</v>
      </c>
      <c r="F1069">
        <v>22.67</v>
      </c>
      <c r="G1069">
        <v>0.11600000000000001</v>
      </c>
      <c r="L1069">
        <v>5.5E-2</v>
      </c>
      <c r="O1069">
        <v>5</v>
      </c>
    </row>
    <row r="1070" spans="1:15" x14ac:dyDescent="0.2">
      <c r="A1070" t="s">
        <v>36</v>
      </c>
      <c r="B1070">
        <v>9</v>
      </c>
      <c r="C1070" s="1" t="s">
        <v>56</v>
      </c>
      <c r="D1070">
        <v>6</v>
      </c>
      <c r="E1070">
        <v>1.069</v>
      </c>
      <c r="F1070">
        <v>21.92</v>
      </c>
      <c r="G1070">
        <v>7.1999999999999995E-2</v>
      </c>
      <c r="L1070">
        <v>5.5E-2</v>
      </c>
      <c r="O1070">
        <v>5</v>
      </c>
    </row>
    <row r="1071" spans="1:15" x14ac:dyDescent="0.2">
      <c r="A1071" t="s">
        <v>36</v>
      </c>
      <c r="B1071">
        <v>9</v>
      </c>
      <c r="C1071" s="1" t="s">
        <v>56</v>
      </c>
      <c r="D1071">
        <v>7</v>
      </c>
      <c r="E1071">
        <v>0.95299999999999996</v>
      </c>
      <c r="F1071">
        <v>19.899999999999999</v>
      </c>
      <c r="G1071">
        <v>8.4000000000000005E-2</v>
      </c>
      <c r="L1071">
        <v>5.5E-2</v>
      </c>
      <c r="O1071">
        <v>5</v>
      </c>
    </row>
    <row r="1072" spans="1:15" x14ac:dyDescent="0.2">
      <c r="A1072" t="s">
        <v>36</v>
      </c>
      <c r="B1072">
        <v>9</v>
      </c>
      <c r="C1072" s="1" t="s">
        <v>56</v>
      </c>
      <c r="D1072">
        <v>8</v>
      </c>
      <c r="E1072">
        <v>1.081</v>
      </c>
      <c r="F1072">
        <v>20.82</v>
      </c>
      <c r="G1072">
        <v>0.09</v>
      </c>
      <c r="L1072">
        <v>5.5E-2</v>
      </c>
      <c r="O1072">
        <v>5</v>
      </c>
    </row>
    <row r="1073" spans="1:15" x14ac:dyDescent="0.2">
      <c r="A1073" t="s">
        <v>36</v>
      </c>
      <c r="B1073">
        <v>9</v>
      </c>
      <c r="C1073" s="1" t="s">
        <v>56</v>
      </c>
      <c r="D1073">
        <v>9</v>
      </c>
      <c r="E1073">
        <v>0.80800000000000005</v>
      </c>
      <c r="F1073">
        <v>24.38</v>
      </c>
      <c r="G1073">
        <v>0.10299999999999999</v>
      </c>
      <c r="L1073">
        <v>5.5E-2</v>
      </c>
      <c r="O1073">
        <v>5</v>
      </c>
    </row>
    <row r="1074" spans="1:15" x14ac:dyDescent="0.2">
      <c r="A1074" t="s">
        <v>36</v>
      </c>
      <c r="B1074">
        <v>9</v>
      </c>
      <c r="C1074" s="1" t="s">
        <v>58</v>
      </c>
      <c r="D1074">
        <v>1</v>
      </c>
      <c r="E1074">
        <v>0.42899999999999999</v>
      </c>
      <c r="F1074">
        <v>69.010000000000005</v>
      </c>
      <c r="G1074">
        <v>0.25</v>
      </c>
      <c r="L1074">
        <v>5.5E-2</v>
      </c>
      <c r="O1074">
        <v>5</v>
      </c>
    </row>
    <row r="1075" spans="1:15" x14ac:dyDescent="0.2">
      <c r="A1075" t="s">
        <v>36</v>
      </c>
      <c r="B1075">
        <v>9</v>
      </c>
      <c r="C1075" s="1" t="s">
        <v>58</v>
      </c>
      <c r="D1075">
        <v>2</v>
      </c>
      <c r="E1075">
        <v>0.40799999999999997</v>
      </c>
      <c r="F1075">
        <v>62.78</v>
      </c>
      <c r="G1075">
        <v>0.30099999999999999</v>
      </c>
      <c r="L1075">
        <v>5.5E-2</v>
      </c>
      <c r="O1075">
        <v>5</v>
      </c>
    </row>
    <row r="1076" spans="1:15" x14ac:dyDescent="0.2">
      <c r="A1076" t="s">
        <v>36</v>
      </c>
      <c r="B1076">
        <v>9</v>
      </c>
      <c r="C1076" s="1" t="s">
        <v>58</v>
      </c>
      <c r="D1076">
        <v>3</v>
      </c>
      <c r="E1076">
        <v>0.32700000000000001</v>
      </c>
      <c r="F1076">
        <v>70.430000000000007</v>
      </c>
      <c r="G1076">
        <v>0.28499999999999998</v>
      </c>
      <c r="L1076">
        <v>5.5E-2</v>
      </c>
      <c r="O1076">
        <v>5</v>
      </c>
    </row>
    <row r="1077" spans="1:15" x14ac:dyDescent="0.2">
      <c r="A1077" t="s">
        <v>36</v>
      </c>
      <c r="B1077">
        <v>9</v>
      </c>
      <c r="C1077" s="1" t="s">
        <v>58</v>
      </c>
      <c r="D1077">
        <v>4</v>
      </c>
      <c r="E1077">
        <v>0.42899999999999999</v>
      </c>
      <c r="F1077">
        <v>63.39</v>
      </c>
      <c r="G1077">
        <v>0.19700000000000001</v>
      </c>
      <c r="L1077">
        <v>5.5E-2</v>
      </c>
      <c r="O1077">
        <v>5</v>
      </c>
    </row>
    <row r="1078" spans="1:15" x14ac:dyDescent="0.2">
      <c r="A1078" t="s">
        <v>36</v>
      </c>
      <c r="B1078">
        <v>9</v>
      </c>
      <c r="C1078" s="1" t="s">
        <v>58</v>
      </c>
      <c r="D1078">
        <v>5</v>
      </c>
      <c r="E1078">
        <v>0.34899999999999998</v>
      </c>
      <c r="F1078">
        <v>58.09</v>
      </c>
      <c r="G1078">
        <v>0.28999999999999998</v>
      </c>
      <c r="L1078">
        <v>5.5E-2</v>
      </c>
      <c r="O1078">
        <v>5</v>
      </c>
    </row>
    <row r="1079" spans="1:15" x14ac:dyDescent="0.2">
      <c r="A1079" t="s">
        <v>36</v>
      </c>
      <c r="B1079">
        <v>9</v>
      </c>
      <c r="C1079" s="1" t="s">
        <v>58</v>
      </c>
      <c r="D1079">
        <v>6</v>
      </c>
      <c r="E1079">
        <v>0.34699999999999998</v>
      </c>
      <c r="F1079">
        <v>73.400000000000006</v>
      </c>
      <c r="G1079">
        <v>0.29399999999999998</v>
      </c>
      <c r="L1079">
        <v>5.5E-2</v>
      </c>
      <c r="O1079">
        <v>5</v>
      </c>
    </row>
    <row r="1080" spans="1:15" x14ac:dyDescent="0.2">
      <c r="A1080" t="s">
        <v>36</v>
      </c>
      <c r="B1080">
        <v>9</v>
      </c>
      <c r="C1080" s="1" t="s">
        <v>58</v>
      </c>
      <c r="D1080">
        <v>7</v>
      </c>
      <c r="E1080">
        <v>0.34399999999999997</v>
      </c>
      <c r="F1080">
        <v>60.45</v>
      </c>
      <c r="G1080">
        <v>0.36499999999999999</v>
      </c>
      <c r="L1080">
        <v>5.5E-2</v>
      </c>
      <c r="O1080">
        <v>5</v>
      </c>
    </row>
    <row r="1081" spans="1:15" x14ac:dyDescent="0.2">
      <c r="A1081" t="s">
        <v>36</v>
      </c>
      <c r="B1081">
        <v>9</v>
      </c>
      <c r="C1081" s="1" t="s">
        <v>58</v>
      </c>
      <c r="D1081">
        <v>8</v>
      </c>
      <c r="E1081">
        <v>0.33700000000000002</v>
      </c>
      <c r="F1081">
        <v>74.63</v>
      </c>
      <c r="G1081">
        <v>0.29699999999999999</v>
      </c>
      <c r="L1081">
        <v>5.5E-2</v>
      </c>
      <c r="O1081">
        <v>5</v>
      </c>
    </row>
    <row r="1082" spans="1:15" x14ac:dyDescent="0.2">
      <c r="A1082" t="s">
        <v>36</v>
      </c>
      <c r="B1082">
        <v>9</v>
      </c>
      <c r="C1082" s="1" t="s">
        <v>58</v>
      </c>
      <c r="D1082">
        <v>9</v>
      </c>
      <c r="E1082">
        <v>0.39800000000000002</v>
      </c>
      <c r="F1082">
        <v>56.55</v>
      </c>
      <c r="G1082">
        <v>0.29599999999999999</v>
      </c>
      <c r="L1082">
        <v>5.5E-2</v>
      </c>
      <c r="O1082">
        <v>5</v>
      </c>
    </row>
    <row r="1083" spans="1:15" x14ac:dyDescent="0.2">
      <c r="A1083" t="s">
        <v>36</v>
      </c>
      <c r="B1083">
        <v>10</v>
      </c>
      <c r="C1083" s="1" t="s">
        <v>46</v>
      </c>
      <c r="D1083">
        <v>1</v>
      </c>
      <c r="E1083">
        <v>0.38</v>
      </c>
      <c r="F1083">
        <v>64.11</v>
      </c>
      <c r="G1083">
        <v>0.251</v>
      </c>
      <c r="L1083">
        <v>0.03</v>
      </c>
      <c r="O1083">
        <v>9</v>
      </c>
    </row>
    <row r="1084" spans="1:15" x14ac:dyDescent="0.2">
      <c r="A1084" t="s">
        <v>36</v>
      </c>
      <c r="B1084">
        <v>10</v>
      </c>
      <c r="C1084" s="1" t="s">
        <v>46</v>
      </c>
      <c r="D1084">
        <v>2</v>
      </c>
      <c r="E1084">
        <v>0.313</v>
      </c>
      <c r="F1084">
        <v>76.67</v>
      </c>
      <c r="G1084">
        <v>0.35699999999999998</v>
      </c>
      <c r="L1084">
        <v>0.03</v>
      </c>
      <c r="O1084">
        <v>9</v>
      </c>
    </row>
    <row r="1085" spans="1:15" x14ac:dyDescent="0.2">
      <c r="A1085" t="s">
        <v>36</v>
      </c>
      <c r="B1085">
        <v>10</v>
      </c>
      <c r="C1085" s="1" t="s">
        <v>46</v>
      </c>
      <c r="D1085">
        <v>3</v>
      </c>
      <c r="E1085">
        <v>0.32400000000000001</v>
      </c>
      <c r="F1085">
        <v>80.48</v>
      </c>
      <c r="G1085">
        <v>0.312</v>
      </c>
      <c r="L1085">
        <v>0.03</v>
      </c>
      <c r="O1085">
        <v>9</v>
      </c>
    </row>
    <row r="1086" spans="1:15" x14ac:dyDescent="0.2">
      <c r="A1086" t="s">
        <v>36</v>
      </c>
      <c r="B1086">
        <v>10</v>
      </c>
      <c r="C1086" s="1" t="s">
        <v>46</v>
      </c>
      <c r="D1086">
        <v>4</v>
      </c>
      <c r="E1086">
        <v>0.51500000000000001</v>
      </c>
      <c r="F1086">
        <v>80.34</v>
      </c>
      <c r="G1086">
        <v>0.33200000000000002</v>
      </c>
      <c r="L1086">
        <v>0.03</v>
      </c>
      <c r="O1086">
        <v>9</v>
      </c>
    </row>
    <row r="1087" spans="1:15" x14ac:dyDescent="0.2">
      <c r="A1087" t="s">
        <v>36</v>
      </c>
      <c r="B1087">
        <v>10</v>
      </c>
      <c r="C1087" s="1" t="s">
        <v>46</v>
      </c>
      <c r="D1087">
        <v>5</v>
      </c>
      <c r="E1087">
        <v>0.35399999999999998</v>
      </c>
      <c r="F1087">
        <v>59.76</v>
      </c>
      <c r="G1087">
        <v>0.39300000000000002</v>
      </c>
      <c r="L1087">
        <v>0.03</v>
      </c>
      <c r="O1087">
        <v>9</v>
      </c>
    </row>
    <row r="1088" spans="1:15" x14ac:dyDescent="0.2">
      <c r="A1088" t="s">
        <v>36</v>
      </c>
      <c r="B1088">
        <v>10</v>
      </c>
      <c r="C1088" s="1" t="s">
        <v>46</v>
      </c>
      <c r="D1088">
        <v>6</v>
      </c>
      <c r="E1088">
        <v>0.33</v>
      </c>
      <c r="F1088">
        <v>53.03</v>
      </c>
      <c r="G1088">
        <v>0.2</v>
      </c>
      <c r="L1088">
        <v>0.03</v>
      </c>
      <c r="O1088">
        <v>9</v>
      </c>
    </row>
    <row r="1089" spans="1:15" x14ac:dyDescent="0.2">
      <c r="A1089" t="s">
        <v>36</v>
      </c>
      <c r="B1089">
        <v>10</v>
      </c>
      <c r="C1089" s="1" t="s">
        <v>46</v>
      </c>
      <c r="D1089">
        <v>7</v>
      </c>
      <c r="E1089">
        <v>0.31900000000000001</v>
      </c>
      <c r="F1089">
        <v>78.53</v>
      </c>
      <c r="G1089">
        <v>0.24399999999999999</v>
      </c>
      <c r="L1089">
        <v>0.03</v>
      </c>
      <c r="O1089">
        <v>9</v>
      </c>
    </row>
    <row r="1090" spans="1:15" x14ac:dyDescent="0.2">
      <c r="A1090" t="s">
        <v>36</v>
      </c>
      <c r="B1090">
        <v>10</v>
      </c>
      <c r="C1090" s="1" t="s">
        <v>46</v>
      </c>
      <c r="D1090">
        <v>8</v>
      </c>
      <c r="E1090">
        <v>0.33200000000000002</v>
      </c>
      <c r="F1090">
        <v>60.07</v>
      </c>
      <c r="G1090">
        <v>0.27900000000000003</v>
      </c>
      <c r="L1090">
        <v>0.03</v>
      </c>
      <c r="O1090">
        <v>9</v>
      </c>
    </row>
    <row r="1091" spans="1:15" x14ac:dyDescent="0.2">
      <c r="A1091" t="s">
        <v>36</v>
      </c>
      <c r="B1091">
        <v>10</v>
      </c>
      <c r="C1091" s="1" t="s">
        <v>46</v>
      </c>
      <c r="D1091">
        <v>9</v>
      </c>
      <c r="E1091">
        <v>0.36499999999999999</v>
      </c>
      <c r="F1091">
        <v>64</v>
      </c>
      <c r="G1091">
        <v>0.25900000000000001</v>
      </c>
      <c r="L1091">
        <v>0.03</v>
      </c>
      <c r="O1091">
        <v>9</v>
      </c>
    </row>
    <row r="1092" spans="1:15" x14ac:dyDescent="0.2">
      <c r="A1092" t="s">
        <v>36</v>
      </c>
      <c r="B1092">
        <v>10</v>
      </c>
      <c r="C1092" s="1" t="s">
        <v>51</v>
      </c>
      <c r="D1092">
        <v>1</v>
      </c>
      <c r="E1092">
        <v>0.34699999999999998</v>
      </c>
      <c r="F1092">
        <v>65.8</v>
      </c>
      <c r="G1092">
        <v>0.41899999999999998</v>
      </c>
      <c r="L1092">
        <v>0.03</v>
      </c>
      <c r="O1092">
        <v>1</v>
      </c>
    </row>
    <row r="1093" spans="1:15" x14ac:dyDescent="0.2">
      <c r="A1093" t="s">
        <v>36</v>
      </c>
      <c r="B1093">
        <v>10</v>
      </c>
      <c r="C1093" s="1" t="s">
        <v>51</v>
      </c>
      <c r="D1093">
        <v>2</v>
      </c>
      <c r="E1093">
        <v>0.36399999999999999</v>
      </c>
      <c r="F1093">
        <v>64.930000000000007</v>
      </c>
      <c r="G1093">
        <v>0.29399999999999998</v>
      </c>
      <c r="L1093">
        <v>0.03</v>
      </c>
      <c r="O1093">
        <v>1</v>
      </c>
    </row>
    <row r="1094" spans="1:15" x14ac:dyDescent="0.2">
      <c r="A1094" t="s">
        <v>36</v>
      </c>
      <c r="B1094">
        <v>10</v>
      </c>
      <c r="C1094" s="1" t="s">
        <v>51</v>
      </c>
      <c r="D1094">
        <v>3</v>
      </c>
      <c r="E1094">
        <v>0.33400000000000002</v>
      </c>
      <c r="F1094">
        <v>75.95</v>
      </c>
      <c r="G1094">
        <v>0.307</v>
      </c>
      <c r="L1094">
        <v>0.03</v>
      </c>
      <c r="O1094">
        <v>1</v>
      </c>
    </row>
    <row r="1095" spans="1:15" x14ac:dyDescent="0.2">
      <c r="A1095" t="s">
        <v>36</v>
      </c>
      <c r="B1095">
        <v>10</v>
      </c>
      <c r="C1095" s="1" t="s">
        <v>51</v>
      </c>
      <c r="D1095">
        <v>4</v>
      </c>
      <c r="E1095">
        <v>0.432</v>
      </c>
      <c r="F1095">
        <v>52.73</v>
      </c>
      <c r="G1095">
        <v>0.28799999999999998</v>
      </c>
      <c r="L1095">
        <v>0.03</v>
      </c>
      <c r="O1095">
        <v>1</v>
      </c>
    </row>
    <row r="1096" spans="1:15" x14ac:dyDescent="0.2">
      <c r="A1096" t="s">
        <v>36</v>
      </c>
      <c r="B1096">
        <v>10</v>
      </c>
      <c r="C1096" s="1" t="s">
        <v>51</v>
      </c>
      <c r="D1096">
        <v>5</v>
      </c>
      <c r="E1096">
        <v>0.36099999999999999</v>
      </c>
      <c r="F1096">
        <v>57.88</v>
      </c>
      <c r="G1096">
        <v>0.21199999999999999</v>
      </c>
      <c r="L1096">
        <v>0.03</v>
      </c>
      <c r="O1096">
        <v>1</v>
      </c>
    </row>
    <row r="1097" spans="1:15" x14ac:dyDescent="0.2">
      <c r="A1097" t="s">
        <v>36</v>
      </c>
      <c r="B1097">
        <v>10</v>
      </c>
      <c r="C1097" s="1" t="s">
        <v>51</v>
      </c>
      <c r="D1097">
        <v>6</v>
      </c>
      <c r="E1097">
        <v>0.29599999999999999</v>
      </c>
      <c r="F1097">
        <v>68.7</v>
      </c>
      <c r="G1097">
        <v>0.31900000000000001</v>
      </c>
      <c r="L1097">
        <v>0.03</v>
      </c>
      <c r="O1097">
        <v>1</v>
      </c>
    </row>
    <row r="1098" spans="1:15" x14ac:dyDescent="0.2">
      <c r="A1098" t="s">
        <v>36</v>
      </c>
      <c r="B1098">
        <v>10</v>
      </c>
      <c r="C1098" s="1" t="s">
        <v>51</v>
      </c>
      <c r="D1098">
        <v>7</v>
      </c>
      <c r="E1098">
        <v>0.33100000000000002</v>
      </c>
      <c r="F1098">
        <v>86.84</v>
      </c>
      <c r="G1098">
        <v>0.28299999999999997</v>
      </c>
      <c r="L1098">
        <v>0.03</v>
      </c>
      <c r="O1098">
        <v>1</v>
      </c>
    </row>
    <row r="1099" spans="1:15" x14ac:dyDescent="0.2">
      <c r="A1099" t="s">
        <v>36</v>
      </c>
      <c r="B1099">
        <v>10</v>
      </c>
      <c r="C1099" s="1" t="s">
        <v>51</v>
      </c>
      <c r="D1099">
        <v>8</v>
      </c>
      <c r="E1099">
        <v>0.36699999999999999</v>
      </c>
      <c r="F1099">
        <v>76.760000000000005</v>
      </c>
      <c r="G1099">
        <v>0.24299999999999999</v>
      </c>
      <c r="L1099">
        <v>0.03</v>
      </c>
      <c r="O1099">
        <v>1</v>
      </c>
    </row>
    <row r="1100" spans="1:15" x14ac:dyDescent="0.2">
      <c r="A1100" t="s">
        <v>36</v>
      </c>
      <c r="B1100">
        <v>10</v>
      </c>
      <c r="C1100" s="1" t="s">
        <v>51</v>
      </c>
      <c r="D1100">
        <v>9</v>
      </c>
      <c r="E1100">
        <v>0.38</v>
      </c>
      <c r="F1100">
        <v>67.02</v>
      </c>
      <c r="G1100">
        <v>0.254</v>
      </c>
      <c r="L1100">
        <v>0.03</v>
      </c>
      <c r="O1100">
        <v>1</v>
      </c>
    </row>
    <row r="1101" spans="1:15" x14ac:dyDescent="0.2">
      <c r="A1101" t="s">
        <v>36</v>
      </c>
      <c r="B1101">
        <v>10</v>
      </c>
      <c r="C1101" s="1" t="s">
        <v>49</v>
      </c>
      <c r="D1101">
        <v>1</v>
      </c>
      <c r="E1101">
        <v>0.30199999999999999</v>
      </c>
      <c r="F1101">
        <v>67.900000000000006</v>
      </c>
      <c r="G1101">
        <v>0.22700000000000001</v>
      </c>
      <c r="L1101">
        <v>0.03</v>
      </c>
      <c r="O1101">
        <v>41</v>
      </c>
    </row>
    <row r="1102" spans="1:15" x14ac:dyDescent="0.2">
      <c r="A1102" t="s">
        <v>36</v>
      </c>
      <c r="B1102">
        <v>10</v>
      </c>
      <c r="C1102" s="1" t="s">
        <v>49</v>
      </c>
      <c r="D1102">
        <v>2</v>
      </c>
      <c r="E1102">
        <v>0.39200000000000002</v>
      </c>
      <c r="F1102">
        <v>57.67</v>
      </c>
      <c r="G1102">
        <v>0.19400000000000001</v>
      </c>
      <c r="L1102">
        <v>0.03</v>
      </c>
      <c r="O1102">
        <v>41</v>
      </c>
    </row>
    <row r="1103" spans="1:15" x14ac:dyDescent="0.2">
      <c r="A1103" t="s">
        <v>36</v>
      </c>
      <c r="B1103">
        <v>10</v>
      </c>
      <c r="C1103" s="1" t="s">
        <v>49</v>
      </c>
      <c r="D1103">
        <v>3</v>
      </c>
      <c r="E1103">
        <v>0.307</v>
      </c>
      <c r="F1103">
        <v>50.32</v>
      </c>
      <c r="G1103">
        <v>0.30399999999999999</v>
      </c>
      <c r="L1103">
        <v>0.03</v>
      </c>
      <c r="O1103">
        <v>41</v>
      </c>
    </row>
    <row r="1104" spans="1:15" x14ac:dyDescent="0.2">
      <c r="A1104" t="s">
        <v>36</v>
      </c>
      <c r="B1104">
        <v>10</v>
      </c>
      <c r="C1104" s="1" t="s">
        <v>49</v>
      </c>
      <c r="D1104">
        <v>4</v>
      </c>
      <c r="E1104">
        <v>0.376</v>
      </c>
      <c r="F1104">
        <v>59.58</v>
      </c>
      <c r="G1104">
        <v>0.41099999999999998</v>
      </c>
      <c r="L1104">
        <v>0.03</v>
      </c>
      <c r="O1104">
        <v>41</v>
      </c>
    </row>
    <row r="1105" spans="1:15" x14ac:dyDescent="0.2">
      <c r="A1105" t="s">
        <v>36</v>
      </c>
      <c r="B1105">
        <v>10</v>
      </c>
      <c r="C1105" s="1" t="s">
        <v>49</v>
      </c>
      <c r="D1105">
        <v>5</v>
      </c>
      <c r="E1105">
        <v>0.36399999999999999</v>
      </c>
      <c r="F1105">
        <v>50.68</v>
      </c>
      <c r="G1105">
        <v>0.39800000000000002</v>
      </c>
      <c r="L1105">
        <v>0.03</v>
      </c>
      <c r="O1105">
        <v>41</v>
      </c>
    </row>
    <row r="1106" spans="1:15" x14ac:dyDescent="0.2">
      <c r="A1106" t="s">
        <v>36</v>
      </c>
      <c r="B1106">
        <v>10</v>
      </c>
      <c r="C1106" s="1" t="s">
        <v>49</v>
      </c>
      <c r="D1106">
        <v>6</v>
      </c>
      <c r="E1106">
        <v>0.34599999999999997</v>
      </c>
      <c r="F1106">
        <v>102.22</v>
      </c>
      <c r="G1106">
        <v>0.26100000000000001</v>
      </c>
      <c r="L1106">
        <v>0.03</v>
      </c>
      <c r="O1106">
        <v>41</v>
      </c>
    </row>
    <row r="1107" spans="1:15" x14ac:dyDescent="0.2">
      <c r="A1107" t="s">
        <v>36</v>
      </c>
      <c r="B1107">
        <v>10</v>
      </c>
      <c r="C1107" s="1" t="s">
        <v>49</v>
      </c>
      <c r="D1107">
        <v>7</v>
      </c>
      <c r="E1107">
        <v>0.33</v>
      </c>
      <c r="F1107">
        <v>115.49</v>
      </c>
      <c r="G1107">
        <v>0.28399999999999997</v>
      </c>
      <c r="L1107">
        <v>0.03</v>
      </c>
      <c r="O1107">
        <v>41</v>
      </c>
    </row>
    <row r="1108" spans="1:15" x14ac:dyDescent="0.2">
      <c r="A1108" t="s">
        <v>36</v>
      </c>
      <c r="B1108">
        <v>10</v>
      </c>
      <c r="C1108" s="1" t="s">
        <v>49</v>
      </c>
      <c r="D1108">
        <v>8</v>
      </c>
      <c r="E1108">
        <v>0.42099999999999999</v>
      </c>
      <c r="F1108">
        <v>76.930000000000007</v>
      </c>
      <c r="G1108">
        <v>0.24399999999999999</v>
      </c>
      <c r="L1108">
        <v>0.03</v>
      </c>
      <c r="O1108">
        <v>41</v>
      </c>
    </row>
    <row r="1109" spans="1:15" x14ac:dyDescent="0.2">
      <c r="A1109" t="s">
        <v>36</v>
      </c>
      <c r="B1109">
        <v>10</v>
      </c>
      <c r="C1109" s="1" t="s">
        <v>49</v>
      </c>
      <c r="D1109">
        <v>9</v>
      </c>
      <c r="E1109">
        <v>0.374</v>
      </c>
      <c r="F1109">
        <v>56.26</v>
      </c>
      <c r="G1109">
        <v>0.32400000000000001</v>
      </c>
      <c r="L1109">
        <v>0.03</v>
      </c>
      <c r="O1109">
        <v>41</v>
      </c>
    </row>
    <row r="1110" spans="1:15" x14ac:dyDescent="0.2">
      <c r="A1110" t="s">
        <v>36</v>
      </c>
      <c r="B1110">
        <v>10</v>
      </c>
      <c r="C1110" s="1" t="s">
        <v>52</v>
      </c>
      <c r="D1110">
        <v>1</v>
      </c>
      <c r="E1110">
        <v>0.33</v>
      </c>
      <c r="F1110">
        <v>69.010000000000005</v>
      </c>
      <c r="G1110">
        <v>0.313</v>
      </c>
      <c r="L1110">
        <v>0.03</v>
      </c>
      <c r="O1110">
        <v>2</v>
      </c>
    </row>
    <row r="1111" spans="1:15" x14ac:dyDescent="0.2">
      <c r="A1111" t="s">
        <v>36</v>
      </c>
      <c r="B1111">
        <v>10</v>
      </c>
      <c r="C1111" s="1" t="s">
        <v>52</v>
      </c>
      <c r="D1111">
        <v>2</v>
      </c>
      <c r="E1111">
        <v>0.41399999999999998</v>
      </c>
      <c r="F1111">
        <v>57.63</v>
      </c>
      <c r="G1111">
        <v>0.26800000000000002</v>
      </c>
      <c r="L1111">
        <v>0.03</v>
      </c>
      <c r="O1111">
        <v>2</v>
      </c>
    </row>
    <row r="1112" spans="1:15" x14ac:dyDescent="0.2">
      <c r="A1112" t="s">
        <v>36</v>
      </c>
      <c r="B1112">
        <v>10</v>
      </c>
      <c r="C1112" s="1" t="s">
        <v>52</v>
      </c>
      <c r="D1112">
        <v>3</v>
      </c>
      <c r="E1112">
        <v>0.32400000000000001</v>
      </c>
      <c r="F1112">
        <v>79.13</v>
      </c>
      <c r="G1112">
        <v>0.26600000000000001</v>
      </c>
      <c r="L1112">
        <v>0.03</v>
      </c>
      <c r="O1112">
        <v>2</v>
      </c>
    </row>
    <row r="1113" spans="1:15" x14ac:dyDescent="0.2">
      <c r="A1113" t="s">
        <v>36</v>
      </c>
      <c r="B1113">
        <v>10</v>
      </c>
      <c r="C1113" s="1" t="s">
        <v>52</v>
      </c>
      <c r="D1113">
        <v>4</v>
      </c>
      <c r="E1113">
        <v>0.40699999999999997</v>
      </c>
      <c r="F1113">
        <v>60.27</v>
      </c>
      <c r="G1113">
        <v>0.23400000000000001</v>
      </c>
      <c r="L1113">
        <v>0.03</v>
      </c>
      <c r="O1113">
        <v>2</v>
      </c>
    </row>
    <row r="1114" spans="1:15" x14ac:dyDescent="0.2">
      <c r="A1114" t="s">
        <v>36</v>
      </c>
      <c r="B1114">
        <v>10</v>
      </c>
      <c r="C1114" s="1" t="s">
        <v>52</v>
      </c>
      <c r="D1114">
        <v>5</v>
      </c>
      <c r="E1114">
        <v>0.32300000000000001</v>
      </c>
      <c r="F1114">
        <v>58.17</v>
      </c>
      <c r="G1114">
        <v>0.20200000000000001</v>
      </c>
      <c r="L1114">
        <v>0.03</v>
      </c>
      <c r="O1114">
        <v>2</v>
      </c>
    </row>
    <row r="1115" spans="1:15" x14ac:dyDescent="0.2">
      <c r="A1115" t="s">
        <v>36</v>
      </c>
      <c r="B1115">
        <v>10</v>
      </c>
      <c r="C1115" s="1" t="s">
        <v>52</v>
      </c>
      <c r="D1115">
        <v>6</v>
      </c>
      <c r="E1115">
        <v>0.34899999999999998</v>
      </c>
      <c r="F1115">
        <v>57.07</v>
      </c>
      <c r="G1115">
        <v>0.27</v>
      </c>
      <c r="L1115">
        <v>0.03</v>
      </c>
      <c r="O1115">
        <v>2</v>
      </c>
    </row>
    <row r="1116" spans="1:15" x14ac:dyDescent="0.2">
      <c r="A1116" t="s">
        <v>36</v>
      </c>
      <c r="B1116">
        <v>10</v>
      </c>
      <c r="C1116" s="1" t="s">
        <v>52</v>
      </c>
      <c r="D1116">
        <v>7</v>
      </c>
      <c r="E1116">
        <v>0.34599999999999997</v>
      </c>
      <c r="F1116">
        <v>66.55</v>
      </c>
      <c r="G1116">
        <v>0.26100000000000001</v>
      </c>
      <c r="L1116">
        <v>0.03</v>
      </c>
      <c r="O1116">
        <v>2</v>
      </c>
    </row>
    <row r="1117" spans="1:15" x14ac:dyDescent="0.2">
      <c r="A1117" t="s">
        <v>36</v>
      </c>
      <c r="B1117">
        <v>10</v>
      </c>
      <c r="C1117" s="1" t="s">
        <v>52</v>
      </c>
      <c r="D1117">
        <v>8</v>
      </c>
      <c r="E1117">
        <v>0.40899999999999997</v>
      </c>
      <c r="F1117">
        <v>94.67</v>
      </c>
      <c r="G1117">
        <v>0.439</v>
      </c>
      <c r="L1117">
        <v>0.03</v>
      </c>
      <c r="O1117">
        <v>2</v>
      </c>
    </row>
    <row r="1118" spans="1:15" x14ac:dyDescent="0.2">
      <c r="A1118" t="s">
        <v>36</v>
      </c>
      <c r="B1118">
        <v>10</v>
      </c>
      <c r="C1118" s="1" t="s">
        <v>52</v>
      </c>
      <c r="D1118">
        <v>9</v>
      </c>
      <c r="E1118">
        <v>0.312</v>
      </c>
      <c r="F1118">
        <v>76.64</v>
      </c>
      <c r="G1118">
        <v>0.39300000000000002</v>
      </c>
      <c r="L1118">
        <v>0.03</v>
      </c>
      <c r="O1118">
        <v>2</v>
      </c>
    </row>
    <row r="1119" spans="1:15" x14ac:dyDescent="0.2">
      <c r="A1119" t="s">
        <v>36</v>
      </c>
      <c r="B1119">
        <v>10</v>
      </c>
      <c r="C1119" s="1" t="s">
        <v>53</v>
      </c>
      <c r="D1119">
        <v>1</v>
      </c>
      <c r="E1119">
        <v>0.624</v>
      </c>
      <c r="F1119">
        <v>7.98</v>
      </c>
      <c r="G1119">
        <v>1.524</v>
      </c>
      <c r="L1119">
        <v>0.03</v>
      </c>
      <c r="O1119">
        <v>4</v>
      </c>
    </row>
    <row r="1120" spans="1:15" x14ac:dyDescent="0.2">
      <c r="A1120" t="s">
        <v>36</v>
      </c>
      <c r="B1120">
        <v>10</v>
      </c>
      <c r="C1120" s="1" t="s">
        <v>53</v>
      </c>
      <c r="D1120">
        <v>2</v>
      </c>
      <c r="E1120">
        <v>0.47499999999999998</v>
      </c>
      <c r="F1120">
        <v>4.75</v>
      </c>
      <c r="G1120">
        <v>1.325</v>
      </c>
      <c r="L1120">
        <v>0.03</v>
      </c>
      <c r="O1120">
        <v>4</v>
      </c>
    </row>
    <row r="1121" spans="1:15" x14ac:dyDescent="0.2">
      <c r="A1121" t="s">
        <v>36</v>
      </c>
      <c r="B1121">
        <v>10</v>
      </c>
      <c r="C1121" s="1" t="s">
        <v>53</v>
      </c>
      <c r="D1121">
        <v>3</v>
      </c>
      <c r="E1121">
        <v>0.69599999999999995</v>
      </c>
      <c r="F1121">
        <v>10.51</v>
      </c>
      <c r="G1121">
        <v>1.911</v>
      </c>
      <c r="L1121">
        <v>0.03</v>
      </c>
      <c r="O1121">
        <v>4</v>
      </c>
    </row>
    <row r="1122" spans="1:15" x14ac:dyDescent="0.2">
      <c r="A1122" t="s">
        <v>36</v>
      </c>
      <c r="B1122">
        <v>10</v>
      </c>
      <c r="C1122" s="1" t="s">
        <v>53</v>
      </c>
      <c r="D1122">
        <v>4</v>
      </c>
      <c r="E1122">
        <v>0.52300000000000002</v>
      </c>
      <c r="F1122">
        <v>7.27</v>
      </c>
      <c r="G1122">
        <v>1.1619999999999999</v>
      </c>
      <c r="L1122">
        <v>0.03</v>
      </c>
      <c r="O1122">
        <v>4</v>
      </c>
    </row>
    <row r="1123" spans="1:15" x14ac:dyDescent="0.2">
      <c r="A1123" t="s">
        <v>36</v>
      </c>
      <c r="B1123">
        <v>10</v>
      </c>
      <c r="C1123" s="1" t="s">
        <v>53</v>
      </c>
      <c r="D1123">
        <v>5</v>
      </c>
      <c r="E1123">
        <v>0.66900000000000004</v>
      </c>
      <c r="F1123">
        <v>6.67</v>
      </c>
      <c r="G1123">
        <v>1.21</v>
      </c>
      <c r="L1123">
        <v>0.03</v>
      </c>
      <c r="O1123">
        <v>4</v>
      </c>
    </row>
    <row r="1124" spans="1:15" x14ac:dyDescent="0.2">
      <c r="A1124" t="s">
        <v>36</v>
      </c>
      <c r="B1124">
        <v>10</v>
      </c>
      <c r="C1124" s="1" t="s">
        <v>53</v>
      </c>
      <c r="D1124">
        <v>6</v>
      </c>
      <c r="E1124">
        <v>0.57299999999999995</v>
      </c>
      <c r="F1124">
        <v>7.32</v>
      </c>
      <c r="G1124">
        <v>1.748</v>
      </c>
      <c r="L1124">
        <v>0.03</v>
      </c>
      <c r="O1124">
        <v>4</v>
      </c>
    </row>
    <row r="1125" spans="1:15" x14ac:dyDescent="0.2">
      <c r="A1125" t="s">
        <v>36</v>
      </c>
      <c r="B1125">
        <v>10</v>
      </c>
      <c r="C1125" s="1" t="s">
        <v>53</v>
      </c>
      <c r="D1125">
        <v>7</v>
      </c>
      <c r="E1125">
        <v>0.93600000000000005</v>
      </c>
      <c r="F1125">
        <v>5.04</v>
      </c>
      <c r="G1125">
        <v>1.28</v>
      </c>
      <c r="L1125">
        <v>0.03</v>
      </c>
      <c r="O1125">
        <v>4</v>
      </c>
    </row>
    <row r="1126" spans="1:15" x14ac:dyDescent="0.2">
      <c r="A1126" t="s">
        <v>36</v>
      </c>
      <c r="B1126">
        <v>10</v>
      </c>
      <c r="C1126" s="1" t="s">
        <v>53</v>
      </c>
      <c r="D1126">
        <v>8</v>
      </c>
      <c r="E1126">
        <v>0.88</v>
      </c>
      <c r="F1126">
        <v>6.38</v>
      </c>
      <c r="G1126">
        <v>1.37</v>
      </c>
      <c r="L1126">
        <v>0.03</v>
      </c>
      <c r="O1126">
        <v>4</v>
      </c>
    </row>
    <row r="1127" spans="1:15" x14ac:dyDescent="0.2">
      <c r="A1127" t="s">
        <v>36</v>
      </c>
      <c r="B1127">
        <v>10</v>
      </c>
      <c r="C1127" s="1" t="s">
        <v>53</v>
      </c>
      <c r="D1127">
        <v>9</v>
      </c>
      <c r="E1127">
        <v>0.57199999999999995</v>
      </c>
      <c r="F1127">
        <v>6.57</v>
      </c>
      <c r="G1127">
        <v>1.115</v>
      </c>
      <c r="L1127">
        <v>0.03</v>
      </c>
      <c r="O1127">
        <v>4</v>
      </c>
    </row>
    <row r="1128" spans="1:15" x14ac:dyDescent="0.2">
      <c r="A1128" t="s">
        <v>36</v>
      </c>
      <c r="B1128">
        <v>10</v>
      </c>
      <c r="C1128" s="1" t="s">
        <v>54</v>
      </c>
      <c r="D1128">
        <v>1</v>
      </c>
      <c r="E1128">
        <v>0.34100000000000003</v>
      </c>
      <c r="F1128">
        <v>42.76</v>
      </c>
      <c r="G1128">
        <v>0.44700000000000001</v>
      </c>
      <c r="L1128">
        <v>0.03</v>
      </c>
      <c r="O1128">
        <v>4</v>
      </c>
    </row>
    <row r="1129" spans="1:15" x14ac:dyDescent="0.2">
      <c r="A1129" t="s">
        <v>36</v>
      </c>
      <c r="B1129">
        <v>10</v>
      </c>
      <c r="C1129" s="1" t="s">
        <v>54</v>
      </c>
      <c r="D1129">
        <v>2</v>
      </c>
      <c r="E1129">
        <v>0.36099999999999999</v>
      </c>
      <c r="F1129">
        <v>48.65</v>
      </c>
      <c r="G1129">
        <v>0.44400000000000001</v>
      </c>
      <c r="L1129">
        <v>0.03</v>
      </c>
      <c r="O1129">
        <v>4</v>
      </c>
    </row>
    <row r="1130" spans="1:15" x14ac:dyDescent="0.2">
      <c r="A1130" t="s">
        <v>36</v>
      </c>
      <c r="B1130">
        <v>10</v>
      </c>
      <c r="C1130" s="1" t="s">
        <v>54</v>
      </c>
      <c r="D1130">
        <v>3</v>
      </c>
      <c r="E1130">
        <v>0.309</v>
      </c>
      <c r="F1130">
        <v>44.79</v>
      </c>
      <c r="G1130">
        <v>0.73399999999999999</v>
      </c>
      <c r="L1130">
        <v>0.03</v>
      </c>
      <c r="O1130">
        <v>4</v>
      </c>
    </row>
    <row r="1131" spans="1:15" x14ac:dyDescent="0.2">
      <c r="A1131" t="s">
        <v>36</v>
      </c>
      <c r="B1131">
        <v>10</v>
      </c>
      <c r="C1131" s="1" t="s">
        <v>54</v>
      </c>
      <c r="D1131">
        <v>4</v>
      </c>
      <c r="E1131">
        <v>0.29299999999999998</v>
      </c>
      <c r="F1131">
        <v>45.09</v>
      </c>
      <c r="G1131">
        <v>0.39100000000000001</v>
      </c>
      <c r="L1131">
        <v>0.03</v>
      </c>
      <c r="O1131">
        <v>4</v>
      </c>
    </row>
    <row r="1132" spans="1:15" x14ac:dyDescent="0.2">
      <c r="A1132" t="s">
        <v>36</v>
      </c>
      <c r="B1132">
        <v>10</v>
      </c>
      <c r="C1132" s="1" t="s">
        <v>54</v>
      </c>
      <c r="D1132">
        <v>5</v>
      </c>
      <c r="E1132">
        <v>0.33900000000000002</v>
      </c>
      <c r="F1132">
        <v>46.79</v>
      </c>
      <c r="G1132">
        <v>0.69699999999999995</v>
      </c>
      <c r="L1132">
        <v>0.03</v>
      </c>
      <c r="O1132">
        <v>4</v>
      </c>
    </row>
    <row r="1133" spans="1:15" x14ac:dyDescent="0.2">
      <c r="A1133" t="s">
        <v>36</v>
      </c>
      <c r="B1133">
        <v>10</v>
      </c>
      <c r="C1133" s="1" t="s">
        <v>54</v>
      </c>
      <c r="D1133">
        <v>6</v>
      </c>
      <c r="E1133">
        <v>0.3</v>
      </c>
      <c r="F1133">
        <v>40.049999999999997</v>
      </c>
      <c r="G1133">
        <v>0.81599999999999995</v>
      </c>
      <c r="L1133">
        <v>0.03</v>
      </c>
      <c r="O1133">
        <v>4</v>
      </c>
    </row>
    <row r="1134" spans="1:15" x14ac:dyDescent="0.2">
      <c r="A1134" t="s">
        <v>36</v>
      </c>
      <c r="B1134">
        <v>10</v>
      </c>
      <c r="C1134" s="1" t="s">
        <v>54</v>
      </c>
      <c r="D1134">
        <v>7</v>
      </c>
      <c r="E1134">
        <v>0.28499999999999998</v>
      </c>
      <c r="F1134">
        <v>40.369999999999997</v>
      </c>
      <c r="G1134">
        <v>0.83699999999999997</v>
      </c>
      <c r="L1134">
        <v>0.03</v>
      </c>
      <c r="O1134">
        <v>4</v>
      </c>
    </row>
    <row r="1135" spans="1:15" x14ac:dyDescent="0.2">
      <c r="A1135" t="s">
        <v>36</v>
      </c>
      <c r="B1135">
        <v>10</v>
      </c>
      <c r="C1135" s="1" t="s">
        <v>54</v>
      </c>
      <c r="D1135">
        <v>8</v>
      </c>
      <c r="E1135">
        <v>0.28000000000000003</v>
      </c>
      <c r="F1135">
        <v>42.95</v>
      </c>
      <c r="G1135">
        <v>0.752</v>
      </c>
      <c r="L1135">
        <v>0.03</v>
      </c>
      <c r="O1135">
        <v>4</v>
      </c>
    </row>
    <row r="1136" spans="1:15" x14ac:dyDescent="0.2">
      <c r="A1136" t="s">
        <v>36</v>
      </c>
      <c r="B1136">
        <v>10</v>
      </c>
      <c r="C1136" s="1" t="s">
        <v>54</v>
      </c>
      <c r="D1136">
        <v>9</v>
      </c>
      <c r="E1136">
        <v>0.32800000000000001</v>
      </c>
      <c r="F1136">
        <v>39.26</v>
      </c>
      <c r="G1136">
        <v>0.71699999999999997</v>
      </c>
      <c r="L1136">
        <v>0.03</v>
      </c>
      <c r="O1136">
        <v>4</v>
      </c>
    </row>
    <row r="1137" spans="1:15" x14ac:dyDescent="0.2">
      <c r="A1137" t="s">
        <v>36</v>
      </c>
      <c r="B1137">
        <v>10</v>
      </c>
      <c r="C1137" s="1" t="s">
        <v>47</v>
      </c>
      <c r="D1137">
        <v>1</v>
      </c>
      <c r="E1137">
        <v>0.30199999999999999</v>
      </c>
      <c r="F1137">
        <v>18.64</v>
      </c>
      <c r="G1137">
        <v>2.2040000000000002</v>
      </c>
      <c r="L1137">
        <v>0.03</v>
      </c>
      <c r="O1137">
        <v>3</v>
      </c>
    </row>
    <row r="1138" spans="1:15" x14ac:dyDescent="0.2">
      <c r="A1138" t="s">
        <v>36</v>
      </c>
      <c r="B1138">
        <v>10</v>
      </c>
      <c r="C1138" s="1" t="s">
        <v>47</v>
      </c>
      <c r="D1138">
        <v>2</v>
      </c>
      <c r="E1138">
        <v>0.24099999999999999</v>
      </c>
      <c r="F1138">
        <v>14.31</v>
      </c>
      <c r="G1138">
        <v>2.4529999999999998</v>
      </c>
      <c r="L1138">
        <v>0.03</v>
      </c>
      <c r="O1138">
        <v>3</v>
      </c>
    </row>
    <row r="1139" spans="1:15" x14ac:dyDescent="0.2">
      <c r="A1139" t="s">
        <v>36</v>
      </c>
      <c r="B1139">
        <v>10</v>
      </c>
      <c r="C1139" s="1" t="s">
        <v>47</v>
      </c>
      <c r="D1139">
        <v>3</v>
      </c>
      <c r="E1139">
        <v>0.33</v>
      </c>
      <c r="F1139">
        <v>17.91</v>
      </c>
      <c r="G1139">
        <v>1.659</v>
      </c>
      <c r="L1139">
        <v>0.03</v>
      </c>
      <c r="O1139">
        <v>3</v>
      </c>
    </row>
    <row r="1140" spans="1:15" x14ac:dyDescent="0.2">
      <c r="A1140" t="s">
        <v>36</v>
      </c>
      <c r="B1140">
        <v>10</v>
      </c>
      <c r="C1140" s="1" t="s">
        <v>47</v>
      </c>
      <c r="D1140">
        <v>4</v>
      </c>
      <c r="E1140">
        <v>0.28299999999999997</v>
      </c>
      <c r="F1140">
        <v>13.1</v>
      </c>
      <c r="G1140">
        <v>2.524</v>
      </c>
      <c r="L1140">
        <v>0.03</v>
      </c>
      <c r="O1140">
        <v>3</v>
      </c>
    </row>
    <row r="1141" spans="1:15" x14ac:dyDescent="0.2">
      <c r="A1141" t="s">
        <v>36</v>
      </c>
      <c r="B1141">
        <v>10</v>
      </c>
      <c r="C1141" s="1" t="s">
        <v>47</v>
      </c>
      <c r="D1141">
        <v>5</v>
      </c>
      <c r="E1141">
        <v>0.28999999999999998</v>
      </c>
      <c r="F1141">
        <v>28.67</v>
      </c>
      <c r="G1141">
        <v>1.9870000000000001</v>
      </c>
      <c r="L1141">
        <v>0.03</v>
      </c>
      <c r="O1141">
        <v>3</v>
      </c>
    </row>
    <row r="1142" spans="1:15" x14ac:dyDescent="0.2">
      <c r="A1142" t="s">
        <v>36</v>
      </c>
      <c r="B1142">
        <v>10</v>
      </c>
      <c r="C1142" s="1" t="s">
        <v>47</v>
      </c>
      <c r="D1142">
        <v>6</v>
      </c>
      <c r="E1142">
        <v>0.33300000000000002</v>
      </c>
      <c r="F1142">
        <v>19.43</v>
      </c>
      <c r="G1142">
        <v>1.766</v>
      </c>
      <c r="L1142">
        <v>0.03</v>
      </c>
      <c r="O1142">
        <v>3</v>
      </c>
    </row>
    <row r="1143" spans="1:15" x14ac:dyDescent="0.2">
      <c r="A1143" t="s">
        <v>36</v>
      </c>
      <c r="B1143">
        <v>10</v>
      </c>
      <c r="C1143" s="1" t="s">
        <v>47</v>
      </c>
      <c r="D1143">
        <v>7</v>
      </c>
      <c r="E1143">
        <v>0.313</v>
      </c>
      <c r="F1143">
        <v>21.33</v>
      </c>
      <c r="G1143">
        <v>1.4490000000000001</v>
      </c>
      <c r="L1143">
        <v>0.03</v>
      </c>
      <c r="O1143">
        <v>3</v>
      </c>
    </row>
    <row r="1144" spans="1:15" x14ac:dyDescent="0.2">
      <c r="A1144" t="s">
        <v>36</v>
      </c>
      <c r="B1144">
        <v>10</v>
      </c>
      <c r="C1144" s="1" t="s">
        <v>47</v>
      </c>
      <c r="D1144">
        <v>8</v>
      </c>
      <c r="E1144">
        <v>0.27400000000000002</v>
      </c>
      <c r="F1144">
        <v>17.5</v>
      </c>
      <c r="G1144">
        <v>2.5070000000000001</v>
      </c>
      <c r="L1144">
        <v>0.03</v>
      </c>
      <c r="O1144">
        <v>3</v>
      </c>
    </row>
    <row r="1145" spans="1:15" x14ac:dyDescent="0.2">
      <c r="A1145" t="s">
        <v>36</v>
      </c>
      <c r="B1145">
        <v>10</v>
      </c>
      <c r="C1145" s="1" t="s">
        <v>47</v>
      </c>
      <c r="D1145">
        <v>9</v>
      </c>
      <c r="E1145">
        <v>0.28199999999999997</v>
      </c>
      <c r="F1145">
        <v>15.67</v>
      </c>
      <c r="G1145">
        <v>1.677</v>
      </c>
      <c r="L1145">
        <v>0.03</v>
      </c>
      <c r="O1145">
        <v>3</v>
      </c>
    </row>
    <row r="1146" spans="1:15" x14ac:dyDescent="0.2">
      <c r="A1146" t="s">
        <v>36</v>
      </c>
      <c r="B1146">
        <v>10</v>
      </c>
      <c r="C1146" s="1" t="s">
        <v>57</v>
      </c>
      <c r="D1146">
        <v>1</v>
      </c>
      <c r="E1146">
        <v>0.752</v>
      </c>
      <c r="F1146">
        <v>8.2899999999999991</v>
      </c>
      <c r="G1146">
        <v>0.318</v>
      </c>
      <c r="L1146">
        <v>0.03</v>
      </c>
      <c r="O1146">
        <v>1</v>
      </c>
    </row>
    <row r="1147" spans="1:15" x14ac:dyDescent="0.2">
      <c r="A1147" t="s">
        <v>36</v>
      </c>
      <c r="B1147">
        <v>10</v>
      </c>
      <c r="C1147" s="1" t="s">
        <v>57</v>
      </c>
      <c r="D1147">
        <v>2</v>
      </c>
      <c r="E1147">
        <v>0.77</v>
      </c>
      <c r="F1147">
        <v>6.98</v>
      </c>
      <c r="G1147">
        <v>0.20599999999999999</v>
      </c>
      <c r="L1147">
        <v>0.03</v>
      </c>
      <c r="O1147">
        <v>1</v>
      </c>
    </row>
    <row r="1148" spans="1:15" x14ac:dyDescent="0.2">
      <c r="A1148" t="s">
        <v>36</v>
      </c>
      <c r="B1148">
        <v>10</v>
      </c>
      <c r="C1148" s="1" t="s">
        <v>57</v>
      </c>
      <c r="D1148">
        <v>3</v>
      </c>
      <c r="E1148">
        <v>0.64500000000000002</v>
      </c>
      <c r="F1148">
        <v>6.3</v>
      </c>
      <c r="G1148">
        <v>0.30099999999999999</v>
      </c>
      <c r="L1148">
        <v>0.03</v>
      </c>
      <c r="O1148">
        <v>1</v>
      </c>
    </row>
    <row r="1149" spans="1:15" x14ac:dyDescent="0.2">
      <c r="A1149" t="s">
        <v>36</v>
      </c>
      <c r="B1149">
        <v>10</v>
      </c>
      <c r="C1149" s="1" t="s">
        <v>57</v>
      </c>
      <c r="D1149">
        <v>4</v>
      </c>
      <c r="E1149">
        <v>0.49199999999999999</v>
      </c>
      <c r="F1149">
        <v>7.45</v>
      </c>
      <c r="G1149">
        <v>0.20699999999999999</v>
      </c>
      <c r="L1149">
        <v>0.03</v>
      </c>
      <c r="O1149">
        <v>1</v>
      </c>
    </row>
    <row r="1150" spans="1:15" x14ac:dyDescent="0.2">
      <c r="A1150" t="s">
        <v>36</v>
      </c>
      <c r="B1150">
        <v>10</v>
      </c>
      <c r="C1150" s="1" t="s">
        <v>57</v>
      </c>
      <c r="D1150">
        <v>5</v>
      </c>
      <c r="E1150">
        <v>0.49199999999999999</v>
      </c>
      <c r="F1150">
        <v>7.11</v>
      </c>
      <c r="G1150">
        <v>0.19</v>
      </c>
      <c r="L1150">
        <v>0.03</v>
      </c>
      <c r="O1150">
        <v>1</v>
      </c>
    </row>
    <row r="1151" spans="1:15" x14ac:dyDescent="0.2">
      <c r="A1151" t="s">
        <v>36</v>
      </c>
      <c r="B1151">
        <v>10</v>
      </c>
      <c r="C1151" s="1" t="s">
        <v>57</v>
      </c>
      <c r="D1151">
        <v>6</v>
      </c>
      <c r="E1151">
        <v>0.495</v>
      </c>
      <c r="F1151">
        <v>10.84</v>
      </c>
      <c r="G1151">
        <v>0.221</v>
      </c>
      <c r="L1151">
        <v>0.03</v>
      </c>
      <c r="O1151">
        <v>1</v>
      </c>
    </row>
    <row r="1152" spans="1:15" x14ac:dyDescent="0.2">
      <c r="A1152" t="s">
        <v>36</v>
      </c>
      <c r="B1152">
        <v>10</v>
      </c>
      <c r="C1152" s="1" t="s">
        <v>57</v>
      </c>
      <c r="D1152">
        <v>7</v>
      </c>
      <c r="E1152">
        <v>0.72299999999999998</v>
      </c>
      <c r="F1152">
        <v>6.28</v>
      </c>
      <c r="G1152">
        <v>0.38400000000000001</v>
      </c>
      <c r="L1152">
        <v>0.03</v>
      </c>
      <c r="O1152">
        <v>1</v>
      </c>
    </row>
    <row r="1153" spans="1:15" x14ac:dyDescent="0.2">
      <c r="A1153" t="s">
        <v>36</v>
      </c>
      <c r="B1153">
        <v>10</v>
      </c>
      <c r="C1153" s="1" t="s">
        <v>57</v>
      </c>
      <c r="D1153">
        <v>8</v>
      </c>
      <c r="E1153">
        <v>0.95399999999999996</v>
      </c>
      <c r="F1153">
        <v>7.22</v>
      </c>
      <c r="G1153">
        <v>0.24099999999999999</v>
      </c>
      <c r="L1153">
        <v>0.03</v>
      </c>
      <c r="O1153">
        <v>1</v>
      </c>
    </row>
    <row r="1154" spans="1:15" x14ac:dyDescent="0.2">
      <c r="A1154" t="s">
        <v>36</v>
      </c>
      <c r="B1154">
        <v>10</v>
      </c>
      <c r="C1154" s="1" t="s">
        <v>57</v>
      </c>
      <c r="D1154">
        <v>9</v>
      </c>
      <c r="E1154">
        <v>0.52900000000000003</v>
      </c>
      <c r="F1154">
        <v>6.36</v>
      </c>
      <c r="G1154">
        <v>0.13900000000000001</v>
      </c>
      <c r="L1154">
        <v>0.03</v>
      </c>
      <c r="O1154">
        <v>1</v>
      </c>
    </row>
    <row r="1155" spans="1:15" x14ac:dyDescent="0.2">
      <c r="A1155" t="s">
        <v>36</v>
      </c>
      <c r="B1155">
        <v>10</v>
      </c>
      <c r="C1155" s="1" t="s">
        <v>55</v>
      </c>
      <c r="D1155">
        <v>1</v>
      </c>
      <c r="E1155">
        <v>0.59</v>
      </c>
      <c r="F1155">
        <v>5.4</v>
      </c>
      <c r="G1155">
        <v>0.156</v>
      </c>
      <c r="L1155">
        <v>0.03</v>
      </c>
      <c r="O1155">
        <v>1</v>
      </c>
    </row>
    <row r="1156" spans="1:15" x14ac:dyDescent="0.2">
      <c r="A1156" t="s">
        <v>36</v>
      </c>
      <c r="B1156">
        <v>10</v>
      </c>
      <c r="C1156" s="1" t="s">
        <v>55</v>
      </c>
      <c r="D1156">
        <v>2</v>
      </c>
      <c r="E1156">
        <v>0.71899999999999997</v>
      </c>
      <c r="F1156">
        <v>6.3</v>
      </c>
      <c r="G1156">
        <v>0.223</v>
      </c>
      <c r="L1156">
        <v>0.03</v>
      </c>
      <c r="O1156">
        <v>1</v>
      </c>
    </row>
    <row r="1157" spans="1:15" x14ac:dyDescent="0.2">
      <c r="A1157" t="s">
        <v>36</v>
      </c>
      <c r="B1157">
        <v>10</v>
      </c>
      <c r="C1157" s="1" t="s">
        <v>55</v>
      </c>
      <c r="D1157">
        <v>3</v>
      </c>
      <c r="E1157">
        <v>0.64800000000000002</v>
      </c>
      <c r="F1157">
        <v>7.34</v>
      </c>
      <c r="G1157">
        <v>0.24199999999999999</v>
      </c>
      <c r="L1157">
        <v>0.03</v>
      </c>
      <c r="O1157">
        <v>1</v>
      </c>
    </row>
    <row r="1158" spans="1:15" x14ac:dyDescent="0.2">
      <c r="A1158" t="s">
        <v>36</v>
      </c>
      <c r="B1158">
        <v>10</v>
      </c>
      <c r="C1158" s="1" t="s">
        <v>55</v>
      </c>
      <c r="D1158">
        <v>4</v>
      </c>
      <c r="E1158">
        <v>0.47</v>
      </c>
      <c r="F1158">
        <v>6</v>
      </c>
      <c r="G1158">
        <v>0.17199999999999999</v>
      </c>
      <c r="L1158">
        <v>0.03</v>
      </c>
      <c r="O1158">
        <v>1</v>
      </c>
    </row>
    <row r="1159" spans="1:15" x14ac:dyDescent="0.2">
      <c r="A1159" t="s">
        <v>36</v>
      </c>
      <c r="B1159">
        <v>10</v>
      </c>
      <c r="C1159" s="1" t="s">
        <v>55</v>
      </c>
      <c r="D1159">
        <v>5</v>
      </c>
      <c r="E1159">
        <v>0.53100000000000003</v>
      </c>
      <c r="F1159">
        <v>7.58</v>
      </c>
      <c r="G1159">
        <v>0.13900000000000001</v>
      </c>
      <c r="L1159">
        <v>0.03</v>
      </c>
      <c r="O1159">
        <v>1</v>
      </c>
    </row>
    <row r="1160" spans="1:15" x14ac:dyDescent="0.2">
      <c r="A1160" t="s">
        <v>36</v>
      </c>
      <c r="B1160">
        <v>10</v>
      </c>
      <c r="C1160" s="1" t="s">
        <v>55</v>
      </c>
      <c r="D1160">
        <v>6</v>
      </c>
      <c r="E1160">
        <v>0.79700000000000004</v>
      </c>
      <c r="F1160">
        <v>7.88</v>
      </c>
      <c r="G1160">
        <v>0.23100000000000001</v>
      </c>
      <c r="L1160">
        <v>0.03</v>
      </c>
      <c r="O1160">
        <v>1</v>
      </c>
    </row>
    <row r="1161" spans="1:15" x14ac:dyDescent="0.2">
      <c r="A1161" t="s">
        <v>36</v>
      </c>
      <c r="B1161">
        <v>10</v>
      </c>
      <c r="C1161" s="1" t="s">
        <v>55</v>
      </c>
      <c r="D1161">
        <v>7</v>
      </c>
      <c r="E1161">
        <v>0.59199999999999997</v>
      </c>
      <c r="F1161">
        <v>5.09</v>
      </c>
      <c r="G1161">
        <v>0.192</v>
      </c>
      <c r="L1161">
        <v>0.03</v>
      </c>
      <c r="O1161">
        <v>1</v>
      </c>
    </row>
    <row r="1162" spans="1:15" x14ac:dyDescent="0.2">
      <c r="A1162" t="s">
        <v>36</v>
      </c>
      <c r="B1162">
        <v>10</v>
      </c>
      <c r="C1162" s="1" t="s">
        <v>55</v>
      </c>
      <c r="D1162">
        <v>8</v>
      </c>
      <c r="E1162">
        <v>0.55700000000000005</v>
      </c>
      <c r="F1162">
        <v>6.15</v>
      </c>
      <c r="G1162">
        <v>0.24099999999999999</v>
      </c>
      <c r="L1162">
        <v>0.03</v>
      </c>
      <c r="O1162">
        <v>1</v>
      </c>
    </row>
    <row r="1163" spans="1:15" x14ac:dyDescent="0.2">
      <c r="A1163" t="s">
        <v>36</v>
      </c>
      <c r="B1163">
        <v>10</v>
      </c>
      <c r="C1163" s="1" t="s">
        <v>55</v>
      </c>
      <c r="D1163">
        <v>9</v>
      </c>
      <c r="E1163">
        <v>0.55700000000000005</v>
      </c>
      <c r="F1163">
        <v>8.35</v>
      </c>
      <c r="G1163">
        <v>0.2</v>
      </c>
      <c r="L1163">
        <v>0.03</v>
      </c>
      <c r="O1163">
        <v>1</v>
      </c>
    </row>
    <row r="1164" spans="1:15" x14ac:dyDescent="0.2">
      <c r="A1164" t="s">
        <v>36</v>
      </c>
      <c r="B1164">
        <v>10</v>
      </c>
      <c r="C1164" s="1" t="s">
        <v>50</v>
      </c>
      <c r="D1164">
        <v>1</v>
      </c>
      <c r="E1164">
        <v>0.11700000000000001</v>
      </c>
      <c r="F1164">
        <v>8.31</v>
      </c>
      <c r="G1164">
        <v>2E-3</v>
      </c>
      <c r="L1164">
        <v>0.03</v>
      </c>
      <c r="O1164">
        <v>1</v>
      </c>
    </row>
    <row r="1165" spans="1:15" x14ac:dyDescent="0.2">
      <c r="A1165" t="s">
        <v>36</v>
      </c>
      <c r="B1165">
        <v>10</v>
      </c>
      <c r="C1165" s="1" t="s">
        <v>50</v>
      </c>
      <c r="D1165">
        <v>2</v>
      </c>
      <c r="E1165">
        <v>0.13100000000000001</v>
      </c>
      <c r="F1165">
        <v>7.84</v>
      </c>
      <c r="G1165">
        <v>1E-3</v>
      </c>
      <c r="L1165">
        <v>0.03</v>
      </c>
      <c r="O1165">
        <v>1</v>
      </c>
    </row>
    <row r="1166" spans="1:15" x14ac:dyDescent="0.2">
      <c r="A1166" t="s">
        <v>36</v>
      </c>
      <c r="B1166">
        <v>10</v>
      </c>
      <c r="C1166" s="1" t="s">
        <v>50</v>
      </c>
      <c r="D1166">
        <v>3</v>
      </c>
      <c r="E1166">
        <v>0.1</v>
      </c>
      <c r="F1166">
        <v>8.27</v>
      </c>
      <c r="G1166">
        <v>1E-3</v>
      </c>
      <c r="L1166">
        <v>0.03</v>
      </c>
      <c r="O1166">
        <v>1</v>
      </c>
    </row>
    <row r="1167" spans="1:15" x14ac:dyDescent="0.2">
      <c r="A1167" t="s">
        <v>36</v>
      </c>
      <c r="B1167">
        <v>10</v>
      </c>
      <c r="C1167" s="1" t="s">
        <v>50</v>
      </c>
      <c r="D1167">
        <v>4</v>
      </c>
      <c r="E1167">
        <v>0.13300000000000001</v>
      </c>
      <c r="F1167">
        <v>7.51</v>
      </c>
      <c r="G1167">
        <v>1E-3</v>
      </c>
      <c r="L1167">
        <v>0.03</v>
      </c>
      <c r="O1167">
        <v>1</v>
      </c>
    </row>
    <row r="1168" spans="1:15" x14ac:dyDescent="0.2">
      <c r="A1168" t="s">
        <v>36</v>
      </c>
      <c r="B1168">
        <v>10</v>
      </c>
      <c r="C1168" s="1" t="s">
        <v>50</v>
      </c>
      <c r="D1168">
        <v>5</v>
      </c>
      <c r="E1168">
        <v>0.129</v>
      </c>
      <c r="F1168">
        <v>8.35</v>
      </c>
      <c r="G1168">
        <v>2E-3</v>
      </c>
      <c r="L1168">
        <v>0.03</v>
      </c>
      <c r="O1168">
        <v>1</v>
      </c>
    </row>
    <row r="1169" spans="1:15" x14ac:dyDescent="0.2">
      <c r="A1169" t="s">
        <v>36</v>
      </c>
      <c r="B1169">
        <v>10</v>
      </c>
      <c r="C1169" s="1" t="s">
        <v>50</v>
      </c>
      <c r="D1169">
        <v>6</v>
      </c>
      <c r="E1169">
        <v>0.13600000000000001</v>
      </c>
      <c r="F1169">
        <v>7.83</v>
      </c>
      <c r="G1169">
        <v>2E-3</v>
      </c>
      <c r="L1169">
        <v>0.03</v>
      </c>
      <c r="O1169">
        <v>1</v>
      </c>
    </row>
    <row r="1170" spans="1:15" x14ac:dyDescent="0.2">
      <c r="A1170" t="s">
        <v>36</v>
      </c>
      <c r="B1170">
        <v>10</v>
      </c>
      <c r="C1170" s="1" t="s">
        <v>50</v>
      </c>
      <c r="D1170">
        <v>7</v>
      </c>
      <c r="E1170">
        <v>0.14799999999999999</v>
      </c>
      <c r="F1170">
        <v>8.5500000000000007</v>
      </c>
      <c r="G1170">
        <v>2E-3</v>
      </c>
      <c r="L1170">
        <v>0.03</v>
      </c>
      <c r="O1170">
        <v>1</v>
      </c>
    </row>
    <row r="1171" spans="1:15" x14ac:dyDescent="0.2">
      <c r="A1171" t="s">
        <v>36</v>
      </c>
      <c r="B1171">
        <v>10</v>
      </c>
      <c r="C1171" s="1" t="s">
        <v>50</v>
      </c>
      <c r="D1171">
        <v>8</v>
      </c>
      <c r="E1171">
        <v>0.17199999999999999</v>
      </c>
      <c r="F1171">
        <v>7.85</v>
      </c>
      <c r="G1171">
        <v>1E-3</v>
      </c>
      <c r="L1171">
        <v>0.03</v>
      </c>
      <c r="O1171">
        <v>1</v>
      </c>
    </row>
    <row r="1172" spans="1:15" x14ac:dyDescent="0.2">
      <c r="A1172" t="s">
        <v>36</v>
      </c>
      <c r="B1172">
        <v>10</v>
      </c>
      <c r="C1172" s="1" t="s">
        <v>50</v>
      </c>
      <c r="D1172">
        <v>9</v>
      </c>
      <c r="E1172">
        <v>0.12</v>
      </c>
      <c r="F1172">
        <v>8.01</v>
      </c>
      <c r="G1172">
        <v>1E-3</v>
      </c>
      <c r="L1172">
        <v>0.03</v>
      </c>
      <c r="O1172">
        <v>1</v>
      </c>
    </row>
    <row r="1173" spans="1:15" x14ac:dyDescent="0.2">
      <c r="A1173" t="s">
        <v>36</v>
      </c>
      <c r="B1173">
        <v>10</v>
      </c>
      <c r="C1173" s="1" t="s">
        <v>56</v>
      </c>
      <c r="D1173">
        <v>1</v>
      </c>
      <c r="E1173">
        <v>1.071</v>
      </c>
      <c r="F1173">
        <v>21.49</v>
      </c>
      <c r="G1173">
        <v>0.13700000000000001</v>
      </c>
      <c r="L1173">
        <v>0.03</v>
      </c>
      <c r="O1173">
        <v>5</v>
      </c>
    </row>
    <row r="1174" spans="1:15" x14ac:dyDescent="0.2">
      <c r="A1174" t="s">
        <v>36</v>
      </c>
      <c r="B1174">
        <v>10</v>
      </c>
      <c r="C1174" s="1" t="s">
        <v>56</v>
      </c>
      <c r="D1174">
        <v>2</v>
      </c>
      <c r="E1174">
        <v>0.86799999999999999</v>
      </c>
      <c r="F1174">
        <v>23.25</v>
      </c>
      <c r="G1174">
        <v>0.121</v>
      </c>
      <c r="L1174">
        <v>0.03</v>
      </c>
      <c r="O1174">
        <v>5</v>
      </c>
    </row>
    <row r="1175" spans="1:15" x14ac:dyDescent="0.2">
      <c r="A1175" t="s">
        <v>36</v>
      </c>
      <c r="B1175">
        <v>10</v>
      </c>
      <c r="C1175" s="1" t="s">
        <v>56</v>
      </c>
      <c r="D1175">
        <v>3</v>
      </c>
      <c r="E1175">
        <v>1.1060000000000001</v>
      </c>
      <c r="F1175">
        <v>23.74</v>
      </c>
      <c r="G1175">
        <v>0.10100000000000001</v>
      </c>
      <c r="L1175">
        <v>0.03</v>
      </c>
      <c r="O1175">
        <v>5</v>
      </c>
    </row>
    <row r="1176" spans="1:15" x14ac:dyDescent="0.2">
      <c r="A1176" t="s">
        <v>36</v>
      </c>
      <c r="B1176">
        <v>10</v>
      </c>
      <c r="C1176" s="1" t="s">
        <v>56</v>
      </c>
      <c r="D1176">
        <v>4</v>
      </c>
      <c r="E1176">
        <v>1.482</v>
      </c>
      <c r="F1176">
        <v>22.48</v>
      </c>
      <c r="G1176">
        <v>0.13500000000000001</v>
      </c>
      <c r="L1176">
        <v>0.03</v>
      </c>
      <c r="O1176">
        <v>5</v>
      </c>
    </row>
    <row r="1177" spans="1:15" x14ac:dyDescent="0.2">
      <c r="A1177" t="s">
        <v>36</v>
      </c>
      <c r="B1177">
        <v>10</v>
      </c>
      <c r="C1177" s="1" t="s">
        <v>56</v>
      </c>
      <c r="D1177">
        <v>5</v>
      </c>
      <c r="E1177">
        <v>1.1040000000000001</v>
      </c>
      <c r="F1177">
        <v>23.61</v>
      </c>
      <c r="G1177">
        <v>0.11799999999999999</v>
      </c>
      <c r="L1177">
        <v>0.03</v>
      </c>
      <c r="O1177">
        <v>5</v>
      </c>
    </row>
    <row r="1178" spans="1:15" x14ac:dyDescent="0.2">
      <c r="A1178" t="s">
        <v>36</v>
      </c>
      <c r="B1178">
        <v>10</v>
      </c>
      <c r="C1178" s="1" t="s">
        <v>56</v>
      </c>
      <c r="D1178">
        <v>6</v>
      </c>
      <c r="E1178">
        <v>1.02</v>
      </c>
      <c r="F1178">
        <v>22.83</v>
      </c>
      <c r="G1178">
        <v>7.1999999999999995E-2</v>
      </c>
      <c r="L1178">
        <v>0.03</v>
      </c>
      <c r="O1178">
        <v>5</v>
      </c>
    </row>
    <row r="1179" spans="1:15" x14ac:dyDescent="0.2">
      <c r="A1179" t="s">
        <v>36</v>
      </c>
      <c r="B1179">
        <v>10</v>
      </c>
      <c r="C1179" s="1" t="s">
        <v>56</v>
      </c>
      <c r="D1179">
        <v>7</v>
      </c>
      <c r="E1179">
        <v>0.90900000000000003</v>
      </c>
      <c r="F1179">
        <v>20.74</v>
      </c>
      <c r="G1179">
        <v>8.5000000000000006E-2</v>
      </c>
      <c r="L1179">
        <v>0.03</v>
      </c>
      <c r="O1179">
        <v>5</v>
      </c>
    </row>
    <row r="1180" spans="1:15" x14ac:dyDescent="0.2">
      <c r="A1180" t="s">
        <v>36</v>
      </c>
      <c r="B1180">
        <v>10</v>
      </c>
      <c r="C1180" s="1" t="s">
        <v>56</v>
      </c>
      <c r="D1180">
        <v>8</v>
      </c>
      <c r="E1180">
        <v>1.0309999999999999</v>
      </c>
      <c r="F1180">
        <v>21.69</v>
      </c>
      <c r="G1180">
        <v>9.0999999999999998E-2</v>
      </c>
      <c r="L1180">
        <v>0.03</v>
      </c>
      <c r="O1180">
        <v>5</v>
      </c>
    </row>
    <row r="1181" spans="1:15" x14ac:dyDescent="0.2">
      <c r="A1181" t="s">
        <v>36</v>
      </c>
      <c r="B1181">
        <v>10</v>
      </c>
      <c r="C1181" s="1" t="s">
        <v>56</v>
      </c>
      <c r="D1181">
        <v>9</v>
      </c>
      <c r="E1181">
        <v>0.77</v>
      </c>
      <c r="F1181">
        <v>25.4</v>
      </c>
      <c r="G1181">
        <v>0.104</v>
      </c>
      <c r="L1181">
        <v>0.03</v>
      </c>
      <c r="O1181">
        <v>5</v>
      </c>
    </row>
    <row r="1182" spans="1:15" x14ac:dyDescent="0.2">
      <c r="A1182" t="s">
        <v>36</v>
      </c>
      <c r="B1182">
        <v>10</v>
      </c>
      <c r="C1182" s="1" t="s">
        <v>58</v>
      </c>
      <c r="D1182">
        <v>1</v>
      </c>
      <c r="E1182">
        <v>0.40899999999999997</v>
      </c>
      <c r="F1182">
        <v>71.89</v>
      </c>
      <c r="G1182">
        <v>0.253</v>
      </c>
      <c r="L1182">
        <v>0.03</v>
      </c>
      <c r="O1182">
        <v>5</v>
      </c>
    </row>
    <row r="1183" spans="1:15" x14ac:dyDescent="0.2">
      <c r="A1183" t="s">
        <v>36</v>
      </c>
      <c r="B1183">
        <v>10</v>
      </c>
      <c r="C1183" s="1" t="s">
        <v>58</v>
      </c>
      <c r="D1183">
        <v>2</v>
      </c>
      <c r="E1183">
        <v>0.38900000000000001</v>
      </c>
      <c r="F1183">
        <v>65.400000000000006</v>
      </c>
      <c r="G1183">
        <v>0.30499999999999999</v>
      </c>
      <c r="L1183">
        <v>0.03</v>
      </c>
      <c r="O1183">
        <v>5</v>
      </c>
    </row>
    <row r="1184" spans="1:15" x14ac:dyDescent="0.2">
      <c r="A1184" t="s">
        <v>36</v>
      </c>
      <c r="B1184">
        <v>10</v>
      </c>
      <c r="C1184" s="1" t="s">
        <v>58</v>
      </c>
      <c r="D1184">
        <v>3</v>
      </c>
      <c r="E1184">
        <v>0.312</v>
      </c>
      <c r="F1184">
        <v>73.37</v>
      </c>
      <c r="G1184">
        <v>0.28799999999999998</v>
      </c>
      <c r="L1184">
        <v>0.03</v>
      </c>
      <c r="O1184">
        <v>5</v>
      </c>
    </row>
    <row r="1185" spans="1:15" x14ac:dyDescent="0.2">
      <c r="A1185" t="s">
        <v>36</v>
      </c>
      <c r="B1185">
        <v>10</v>
      </c>
      <c r="C1185" s="1" t="s">
        <v>58</v>
      </c>
      <c r="D1185">
        <v>4</v>
      </c>
      <c r="E1185">
        <v>0.40899999999999997</v>
      </c>
      <c r="F1185">
        <v>66.040000000000006</v>
      </c>
      <c r="G1185">
        <v>0.19900000000000001</v>
      </c>
      <c r="L1185">
        <v>0.03</v>
      </c>
      <c r="O1185">
        <v>5</v>
      </c>
    </row>
    <row r="1186" spans="1:15" x14ac:dyDescent="0.2">
      <c r="A1186" t="s">
        <v>36</v>
      </c>
      <c r="B1186">
        <v>10</v>
      </c>
      <c r="C1186" s="1" t="s">
        <v>58</v>
      </c>
      <c r="D1186">
        <v>5</v>
      </c>
      <c r="E1186">
        <v>0.33300000000000002</v>
      </c>
      <c r="F1186">
        <v>60.51</v>
      </c>
      <c r="G1186">
        <v>0.29399999999999998</v>
      </c>
      <c r="L1186">
        <v>0.03</v>
      </c>
      <c r="O1186">
        <v>5</v>
      </c>
    </row>
    <row r="1187" spans="1:15" x14ac:dyDescent="0.2">
      <c r="A1187" t="s">
        <v>36</v>
      </c>
      <c r="B1187">
        <v>10</v>
      </c>
      <c r="C1187" s="1" t="s">
        <v>58</v>
      </c>
      <c r="D1187">
        <v>6</v>
      </c>
      <c r="E1187">
        <v>0.33100000000000002</v>
      </c>
      <c r="F1187">
        <v>76.47</v>
      </c>
      <c r="G1187">
        <v>0.29699999999999999</v>
      </c>
      <c r="L1187">
        <v>0.03</v>
      </c>
      <c r="O1187">
        <v>5</v>
      </c>
    </row>
    <row r="1188" spans="1:15" x14ac:dyDescent="0.2">
      <c r="A1188" t="s">
        <v>36</v>
      </c>
      <c r="B1188">
        <v>10</v>
      </c>
      <c r="C1188" s="1" t="s">
        <v>58</v>
      </c>
      <c r="D1188">
        <v>7</v>
      </c>
      <c r="E1188">
        <v>0.32800000000000001</v>
      </c>
      <c r="F1188">
        <v>62.97</v>
      </c>
      <c r="G1188">
        <v>0.37</v>
      </c>
      <c r="L1188">
        <v>0.03</v>
      </c>
      <c r="O1188">
        <v>5</v>
      </c>
    </row>
    <row r="1189" spans="1:15" x14ac:dyDescent="0.2">
      <c r="A1189" t="s">
        <v>36</v>
      </c>
      <c r="B1189">
        <v>10</v>
      </c>
      <c r="C1189" s="1" t="s">
        <v>58</v>
      </c>
      <c r="D1189">
        <v>8</v>
      </c>
      <c r="E1189">
        <v>0.32200000000000001</v>
      </c>
      <c r="F1189">
        <v>77.739999999999995</v>
      </c>
      <c r="G1189">
        <v>0.30099999999999999</v>
      </c>
      <c r="L1189">
        <v>0.03</v>
      </c>
      <c r="O1189">
        <v>5</v>
      </c>
    </row>
    <row r="1190" spans="1:15" x14ac:dyDescent="0.2">
      <c r="A1190" t="s">
        <v>36</v>
      </c>
      <c r="B1190">
        <v>10</v>
      </c>
      <c r="C1190" s="1" t="s">
        <v>58</v>
      </c>
      <c r="D1190">
        <v>9</v>
      </c>
      <c r="E1190">
        <v>0.38</v>
      </c>
      <c r="F1190">
        <v>58.91</v>
      </c>
      <c r="G1190">
        <v>0.29899999999999999</v>
      </c>
      <c r="L1190">
        <v>0.03</v>
      </c>
      <c r="O1190">
        <v>5</v>
      </c>
    </row>
    <row r="1191" spans="1:15" x14ac:dyDescent="0.2">
      <c r="A1191" t="s">
        <v>36</v>
      </c>
      <c r="B1191">
        <v>10</v>
      </c>
      <c r="C1191" s="1" t="s">
        <v>43</v>
      </c>
      <c r="D1191">
        <v>1</v>
      </c>
      <c r="E1191">
        <v>0.60699999999999998</v>
      </c>
      <c r="F1191">
        <v>8.39</v>
      </c>
      <c r="G1191">
        <v>1.66</v>
      </c>
      <c r="L1191">
        <v>0.03</v>
      </c>
      <c r="O1191">
        <v>5</v>
      </c>
    </row>
    <row r="1192" spans="1:15" x14ac:dyDescent="0.2">
      <c r="A1192" t="s">
        <v>36</v>
      </c>
      <c r="B1192">
        <v>10</v>
      </c>
      <c r="C1192" s="1" t="s">
        <v>43</v>
      </c>
      <c r="D1192">
        <v>2</v>
      </c>
      <c r="E1192">
        <v>0.82799999999999996</v>
      </c>
      <c r="F1192">
        <v>8.6999999999999993</v>
      </c>
      <c r="G1192">
        <v>1.478</v>
      </c>
      <c r="L1192">
        <v>0.03</v>
      </c>
      <c r="O1192">
        <v>5</v>
      </c>
    </row>
    <row r="1193" spans="1:15" x14ac:dyDescent="0.2">
      <c r="A1193" t="s">
        <v>36</v>
      </c>
      <c r="B1193">
        <v>10</v>
      </c>
      <c r="C1193" s="1" t="s">
        <v>43</v>
      </c>
      <c r="D1193">
        <v>3</v>
      </c>
      <c r="E1193">
        <v>0.38700000000000001</v>
      </c>
      <c r="F1193">
        <v>7.4</v>
      </c>
      <c r="G1193">
        <v>1.58</v>
      </c>
      <c r="L1193">
        <v>0.03</v>
      </c>
      <c r="O1193">
        <v>5</v>
      </c>
    </row>
    <row r="1194" spans="1:15" x14ac:dyDescent="0.2">
      <c r="A1194" t="s">
        <v>36</v>
      </c>
      <c r="B1194">
        <v>10</v>
      </c>
      <c r="C1194" s="1" t="s">
        <v>43</v>
      </c>
      <c r="D1194">
        <v>4</v>
      </c>
      <c r="E1194">
        <v>0.65600000000000003</v>
      </c>
      <c r="F1194">
        <v>9.01</v>
      </c>
      <c r="G1194">
        <v>1.006</v>
      </c>
      <c r="L1194">
        <v>0.03</v>
      </c>
      <c r="O1194">
        <v>5</v>
      </c>
    </row>
    <row r="1195" spans="1:15" x14ac:dyDescent="0.2">
      <c r="A1195" t="s">
        <v>36</v>
      </c>
      <c r="B1195">
        <v>10</v>
      </c>
      <c r="C1195" s="1" t="s">
        <v>43</v>
      </c>
      <c r="D1195">
        <v>5</v>
      </c>
      <c r="E1195">
        <v>0.51900000000000002</v>
      </c>
      <c r="F1195">
        <v>12.96</v>
      </c>
      <c r="G1195">
        <v>2.6040000000000001</v>
      </c>
      <c r="L1195">
        <v>0.03</v>
      </c>
      <c r="O1195">
        <v>5</v>
      </c>
    </row>
    <row r="1196" spans="1:15" x14ac:dyDescent="0.2">
      <c r="A1196" t="s">
        <v>36</v>
      </c>
      <c r="B1196">
        <v>10</v>
      </c>
      <c r="C1196" s="1" t="s">
        <v>43</v>
      </c>
      <c r="D1196">
        <v>6</v>
      </c>
      <c r="E1196">
        <v>0.749</v>
      </c>
      <c r="F1196">
        <v>6.81</v>
      </c>
      <c r="G1196">
        <v>2.4430000000000001</v>
      </c>
      <c r="L1196">
        <v>0.03</v>
      </c>
      <c r="O1196">
        <v>5</v>
      </c>
    </row>
    <row r="1197" spans="1:15" x14ac:dyDescent="0.2">
      <c r="A1197" t="s">
        <v>36</v>
      </c>
      <c r="B1197">
        <v>10</v>
      </c>
      <c r="C1197" s="1" t="s">
        <v>43</v>
      </c>
      <c r="D1197">
        <v>7</v>
      </c>
      <c r="E1197">
        <v>1.411</v>
      </c>
      <c r="F1197">
        <v>12.18</v>
      </c>
      <c r="G1197">
        <v>2.419</v>
      </c>
      <c r="L1197">
        <v>0.03</v>
      </c>
      <c r="O1197">
        <v>5</v>
      </c>
    </row>
    <row r="1198" spans="1:15" x14ac:dyDescent="0.2">
      <c r="A1198" t="s">
        <v>36</v>
      </c>
      <c r="B1198">
        <v>10</v>
      </c>
      <c r="C1198" s="1" t="s">
        <v>43</v>
      </c>
      <c r="D1198">
        <v>8</v>
      </c>
      <c r="E1198">
        <v>0.80300000000000005</v>
      </c>
      <c r="F1198">
        <v>10.029999999999999</v>
      </c>
      <c r="G1198">
        <v>1.29</v>
      </c>
      <c r="L1198">
        <v>0.03</v>
      </c>
      <c r="O1198">
        <v>5</v>
      </c>
    </row>
    <row r="1199" spans="1:15" x14ac:dyDescent="0.2">
      <c r="A1199" t="s">
        <v>36</v>
      </c>
      <c r="B1199">
        <v>10</v>
      </c>
      <c r="C1199" s="1" t="s">
        <v>43</v>
      </c>
      <c r="D1199">
        <v>9</v>
      </c>
      <c r="E1199">
        <v>0.81799999999999995</v>
      </c>
      <c r="F1199">
        <v>6.05</v>
      </c>
      <c r="G1199">
        <v>2.5409999999999999</v>
      </c>
      <c r="L1199">
        <v>0.03</v>
      </c>
      <c r="O1199">
        <v>5</v>
      </c>
    </row>
    <row r="1200" spans="1:15" x14ac:dyDescent="0.2">
      <c r="A1200" t="s">
        <v>36</v>
      </c>
      <c r="B1200">
        <v>10</v>
      </c>
      <c r="C1200" s="1" t="s">
        <v>45</v>
      </c>
      <c r="D1200">
        <v>1</v>
      </c>
      <c r="E1200">
        <v>0.67100000000000004</v>
      </c>
      <c r="F1200">
        <v>39.53</v>
      </c>
      <c r="G1200">
        <v>1.282</v>
      </c>
      <c r="L1200">
        <v>0.03</v>
      </c>
      <c r="O1200">
        <v>1</v>
      </c>
    </row>
    <row r="1201" spans="1:15" x14ac:dyDescent="0.2">
      <c r="A1201" t="s">
        <v>36</v>
      </c>
      <c r="B1201">
        <v>10</v>
      </c>
      <c r="C1201" s="1" t="s">
        <v>45</v>
      </c>
      <c r="D1201">
        <v>2</v>
      </c>
      <c r="E1201">
        <v>0.54800000000000004</v>
      </c>
      <c r="F1201">
        <v>41.53</v>
      </c>
      <c r="G1201">
        <v>1.738</v>
      </c>
      <c r="L1201">
        <v>0.03</v>
      </c>
      <c r="O1201">
        <v>1</v>
      </c>
    </row>
    <row r="1202" spans="1:15" x14ac:dyDescent="0.2">
      <c r="A1202" t="s">
        <v>36</v>
      </c>
      <c r="B1202">
        <v>10</v>
      </c>
      <c r="C1202" s="1" t="s">
        <v>45</v>
      </c>
      <c r="D1202">
        <v>3</v>
      </c>
      <c r="E1202">
        <v>0.622</v>
      </c>
      <c r="F1202">
        <v>39.159999999999997</v>
      </c>
      <c r="G1202">
        <v>1.1419999999999999</v>
      </c>
      <c r="L1202">
        <v>0.03</v>
      </c>
      <c r="O1202">
        <v>1</v>
      </c>
    </row>
    <row r="1203" spans="1:15" x14ac:dyDescent="0.2">
      <c r="A1203" t="s">
        <v>36</v>
      </c>
      <c r="B1203">
        <v>10</v>
      </c>
      <c r="C1203" s="1" t="s">
        <v>45</v>
      </c>
      <c r="D1203">
        <v>4</v>
      </c>
      <c r="E1203">
        <v>0.443</v>
      </c>
      <c r="F1203">
        <v>45.37</v>
      </c>
      <c r="G1203">
        <v>1.01</v>
      </c>
      <c r="L1203">
        <v>0.03</v>
      </c>
      <c r="O1203">
        <v>1</v>
      </c>
    </row>
    <row r="1204" spans="1:15" x14ac:dyDescent="0.2">
      <c r="A1204" t="s">
        <v>36</v>
      </c>
      <c r="B1204">
        <v>10</v>
      </c>
      <c r="C1204" s="1" t="s">
        <v>45</v>
      </c>
      <c r="D1204">
        <v>5</v>
      </c>
      <c r="E1204">
        <v>0.66300000000000003</v>
      </c>
      <c r="F1204">
        <v>31.3</v>
      </c>
      <c r="G1204">
        <v>1.256</v>
      </c>
      <c r="L1204">
        <v>0.03</v>
      </c>
      <c r="O1204">
        <v>1</v>
      </c>
    </row>
    <row r="1205" spans="1:15" x14ac:dyDescent="0.2">
      <c r="A1205" t="s">
        <v>36</v>
      </c>
      <c r="B1205">
        <v>10</v>
      </c>
      <c r="C1205" s="1" t="s">
        <v>45</v>
      </c>
      <c r="D1205">
        <v>6</v>
      </c>
      <c r="E1205">
        <v>0.76</v>
      </c>
      <c r="F1205">
        <v>33.22</v>
      </c>
      <c r="G1205">
        <v>1.167</v>
      </c>
      <c r="L1205">
        <v>0.03</v>
      </c>
      <c r="O1205">
        <v>1</v>
      </c>
    </row>
    <row r="1206" spans="1:15" x14ac:dyDescent="0.2">
      <c r="A1206" t="s">
        <v>36</v>
      </c>
      <c r="B1206">
        <v>10</v>
      </c>
      <c r="C1206" s="1" t="s">
        <v>45</v>
      </c>
      <c r="D1206">
        <v>7</v>
      </c>
      <c r="E1206">
        <v>0.40799999999999997</v>
      </c>
      <c r="F1206">
        <v>29.45</v>
      </c>
      <c r="G1206">
        <v>0.85499999999999998</v>
      </c>
      <c r="L1206">
        <v>0.03</v>
      </c>
      <c r="O1206">
        <v>1</v>
      </c>
    </row>
    <row r="1207" spans="1:15" x14ac:dyDescent="0.2">
      <c r="A1207" t="s">
        <v>36</v>
      </c>
      <c r="B1207">
        <v>10</v>
      </c>
      <c r="C1207" s="1" t="s">
        <v>45</v>
      </c>
      <c r="D1207">
        <v>8</v>
      </c>
      <c r="E1207">
        <v>0.66700000000000004</v>
      </c>
      <c r="F1207">
        <v>55.03</v>
      </c>
      <c r="G1207">
        <v>1.06</v>
      </c>
      <c r="L1207">
        <v>0.03</v>
      </c>
      <c r="O1207">
        <v>1</v>
      </c>
    </row>
    <row r="1208" spans="1:15" x14ac:dyDescent="0.2">
      <c r="A1208" t="s">
        <v>36</v>
      </c>
      <c r="B1208">
        <v>10</v>
      </c>
      <c r="C1208" s="1" t="s">
        <v>45</v>
      </c>
      <c r="D1208">
        <v>9</v>
      </c>
      <c r="E1208">
        <v>0.72399999999999998</v>
      </c>
      <c r="F1208">
        <v>30.61</v>
      </c>
      <c r="G1208">
        <v>1</v>
      </c>
      <c r="L1208">
        <v>0.03</v>
      </c>
      <c r="O1208">
        <v>1</v>
      </c>
    </row>
    <row r="1209" spans="1:15" x14ac:dyDescent="0.2">
      <c r="A1209" t="s">
        <v>36</v>
      </c>
      <c r="B1209">
        <v>10</v>
      </c>
      <c r="C1209" s="1" t="s">
        <v>44</v>
      </c>
      <c r="D1209">
        <v>1</v>
      </c>
      <c r="E1209">
        <v>3.1520000000000001</v>
      </c>
      <c r="F1209">
        <v>11.52</v>
      </c>
      <c r="G1209">
        <v>0.79200000000000004</v>
      </c>
      <c r="L1209">
        <v>0.03</v>
      </c>
      <c r="O1209">
        <v>5</v>
      </c>
    </row>
    <row r="1210" spans="1:15" x14ac:dyDescent="0.2">
      <c r="A1210" t="s">
        <v>36</v>
      </c>
      <c r="B1210">
        <v>10</v>
      </c>
      <c r="C1210" s="1" t="s">
        <v>44</v>
      </c>
      <c r="D1210">
        <v>2</v>
      </c>
      <c r="E1210">
        <v>5.3390000000000004</v>
      </c>
      <c r="F1210">
        <v>11.05</v>
      </c>
      <c r="G1210">
        <v>0.307</v>
      </c>
      <c r="L1210">
        <v>0.03</v>
      </c>
      <c r="O1210">
        <v>5</v>
      </c>
    </row>
    <row r="1211" spans="1:15" x14ac:dyDescent="0.2">
      <c r="A1211" t="s">
        <v>36</v>
      </c>
      <c r="B1211">
        <v>10</v>
      </c>
      <c r="C1211" s="1" t="s">
        <v>44</v>
      </c>
      <c r="D1211">
        <v>3</v>
      </c>
      <c r="E1211">
        <v>3.5019999999999998</v>
      </c>
      <c r="F1211">
        <v>13.23</v>
      </c>
      <c r="G1211">
        <v>0.39900000000000002</v>
      </c>
      <c r="L1211">
        <v>0.03</v>
      </c>
      <c r="O1211">
        <v>5</v>
      </c>
    </row>
    <row r="1212" spans="1:15" x14ac:dyDescent="0.2">
      <c r="A1212" t="s">
        <v>36</v>
      </c>
      <c r="B1212">
        <v>10</v>
      </c>
      <c r="C1212" s="1" t="s">
        <v>44</v>
      </c>
      <c r="D1212">
        <v>4</v>
      </c>
      <c r="E1212">
        <v>4.085</v>
      </c>
      <c r="F1212">
        <v>14.93</v>
      </c>
      <c r="G1212">
        <v>0.36099999999999999</v>
      </c>
      <c r="L1212">
        <v>0.03</v>
      </c>
      <c r="O1212">
        <v>5</v>
      </c>
    </row>
    <row r="1213" spans="1:15" x14ac:dyDescent="0.2">
      <c r="A1213" t="s">
        <v>36</v>
      </c>
      <c r="B1213">
        <v>10</v>
      </c>
      <c r="C1213" s="1" t="s">
        <v>44</v>
      </c>
      <c r="D1213">
        <v>5</v>
      </c>
      <c r="E1213">
        <v>2.4460000000000002</v>
      </c>
      <c r="F1213">
        <v>15.41</v>
      </c>
      <c r="G1213">
        <v>0.32800000000000001</v>
      </c>
      <c r="L1213">
        <v>0.03</v>
      </c>
      <c r="O1213">
        <v>5</v>
      </c>
    </row>
    <row r="1214" spans="1:15" x14ac:dyDescent="0.2">
      <c r="A1214" t="s">
        <v>36</v>
      </c>
      <c r="B1214">
        <v>10</v>
      </c>
      <c r="C1214" s="1" t="s">
        <v>44</v>
      </c>
      <c r="D1214">
        <v>6</v>
      </c>
      <c r="E1214">
        <v>3.008</v>
      </c>
      <c r="F1214">
        <v>21.78</v>
      </c>
      <c r="G1214">
        <v>0.44600000000000001</v>
      </c>
      <c r="L1214">
        <v>0.03</v>
      </c>
      <c r="O1214">
        <v>5</v>
      </c>
    </row>
    <row r="1215" spans="1:15" x14ac:dyDescent="0.2">
      <c r="A1215" t="s">
        <v>36</v>
      </c>
      <c r="B1215">
        <v>10</v>
      </c>
      <c r="C1215" s="1" t="s">
        <v>44</v>
      </c>
      <c r="D1215">
        <v>7</v>
      </c>
      <c r="E1215">
        <v>3.508</v>
      </c>
      <c r="F1215">
        <v>20.07</v>
      </c>
      <c r="G1215">
        <v>0.24199999999999999</v>
      </c>
      <c r="L1215">
        <v>0.03</v>
      </c>
      <c r="O1215">
        <v>5</v>
      </c>
    </row>
    <row r="1216" spans="1:15" x14ac:dyDescent="0.2">
      <c r="A1216" t="s">
        <v>36</v>
      </c>
      <c r="B1216">
        <v>10</v>
      </c>
      <c r="C1216" s="1" t="s">
        <v>44</v>
      </c>
      <c r="D1216">
        <v>8</v>
      </c>
      <c r="E1216">
        <v>2.206</v>
      </c>
      <c r="F1216">
        <v>16.190000000000001</v>
      </c>
      <c r="G1216">
        <v>0.37</v>
      </c>
      <c r="L1216">
        <v>0.03</v>
      </c>
      <c r="O1216">
        <v>5</v>
      </c>
    </row>
    <row r="1217" spans="1:15" x14ac:dyDescent="0.2">
      <c r="A1217" t="s">
        <v>36</v>
      </c>
      <c r="B1217">
        <v>10</v>
      </c>
      <c r="C1217" s="1" t="s">
        <v>44</v>
      </c>
      <c r="D1217">
        <v>9</v>
      </c>
      <c r="E1217">
        <v>2.9220000000000002</v>
      </c>
      <c r="F1217">
        <v>13.72</v>
      </c>
      <c r="G1217">
        <v>0.39200000000000002</v>
      </c>
      <c r="L1217">
        <v>0.03</v>
      </c>
      <c r="O1217">
        <v>5</v>
      </c>
    </row>
    <row r="1218" spans="1:15" x14ac:dyDescent="0.2">
      <c r="A1218" t="s">
        <v>59</v>
      </c>
      <c r="B1218">
        <v>1</v>
      </c>
      <c r="C1218" t="s">
        <v>28</v>
      </c>
      <c r="D1218">
        <v>1</v>
      </c>
      <c r="E1218">
        <v>0.63639999999999997</v>
      </c>
      <c r="F1218">
        <v>13.7</v>
      </c>
      <c r="G1218">
        <v>0.436</v>
      </c>
      <c r="L1218">
        <v>4</v>
      </c>
      <c r="O1218">
        <v>10</v>
      </c>
    </row>
    <row r="1219" spans="1:15" x14ac:dyDescent="0.2">
      <c r="A1219" t="s">
        <v>59</v>
      </c>
      <c r="B1219">
        <v>1</v>
      </c>
      <c r="C1219" t="s">
        <v>28</v>
      </c>
      <c r="D1219">
        <v>2</v>
      </c>
      <c r="E1219">
        <v>0.66610000000000003</v>
      </c>
      <c r="F1219">
        <v>14.4</v>
      </c>
      <c r="G1219">
        <v>0.374</v>
      </c>
      <c r="L1219">
        <v>4</v>
      </c>
      <c r="O1219">
        <v>10</v>
      </c>
    </row>
    <row r="1220" spans="1:15" x14ac:dyDescent="0.2">
      <c r="A1220" t="s">
        <v>59</v>
      </c>
      <c r="B1220">
        <v>1</v>
      </c>
      <c r="C1220" t="s">
        <v>28</v>
      </c>
      <c r="D1220">
        <v>3</v>
      </c>
      <c r="E1220">
        <v>0.63790000000000002</v>
      </c>
      <c r="F1220">
        <v>6.9</v>
      </c>
      <c r="G1220">
        <v>0.36099999999999999</v>
      </c>
      <c r="L1220">
        <v>4</v>
      </c>
      <c r="O1220">
        <v>10</v>
      </c>
    </row>
    <row r="1221" spans="1:15" x14ac:dyDescent="0.2">
      <c r="A1221" t="s">
        <v>59</v>
      </c>
      <c r="B1221">
        <v>1</v>
      </c>
      <c r="C1221" t="s">
        <v>28</v>
      </c>
      <c r="D1221">
        <v>4</v>
      </c>
      <c r="E1221">
        <v>0.57969999999999999</v>
      </c>
      <c r="F1221">
        <v>14.4</v>
      </c>
      <c r="G1221">
        <v>0.83199999999999996</v>
      </c>
      <c r="L1221">
        <v>4</v>
      </c>
      <c r="O1221">
        <v>10</v>
      </c>
    </row>
    <row r="1222" spans="1:15" x14ac:dyDescent="0.2">
      <c r="A1222" t="s">
        <v>59</v>
      </c>
      <c r="B1222">
        <v>1</v>
      </c>
      <c r="C1222" t="s">
        <v>28</v>
      </c>
      <c r="D1222">
        <v>5</v>
      </c>
      <c r="E1222">
        <v>0.66220000000000001</v>
      </c>
      <c r="F1222">
        <v>14.9</v>
      </c>
      <c r="G1222">
        <v>0.48399999999999999</v>
      </c>
      <c r="L1222">
        <v>4</v>
      </c>
      <c r="O1222">
        <v>10</v>
      </c>
    </row>
    <row r="1223" spans="1:15" x14ac:dyDescent="0.2">
      <c r="A1223" t="s">
        <v>59</v>
      </c>
      <c r="B1223">
        <v>1</v>
      </c>
      <c r="C1223" t="s">
        <v>28</v>
      </c>
      <c r="D1223">
        <v>6</v>
      </c>
      <c r="E1223">
        <v>0.59589999999999999</v>
      </c>
      <c r="F1223">
        <v>13.3</v>
      </c>
      <c r="G1223">
        <v>0.8</v>
      </c>
      <c r="L1223">
        <v>4</v>
      </c>
      <c r="O1223">
        <v>10</v>
      </c>
    </row>
    <row r="1224" spans="1:15" x14ac:dyDescent="0.2">
      <c r="A1224" t="s">
        <v>59</v>
      </c>
      <c r="B1224">
        <v>1</v>
      </c>
      <c r="C1224" t="s">
        <v>28</v>
      </c>
      <c r="D1224">
        <v>7</v>
      </c>
      <c r="E1224">
        <v>0.5907</v>
      </c>
      <c r="F1224">
        <v>7.7</v>
      </c>
      <c r="G1224">
        <v>0.27100000000000002</v>
      </c>
      <c r="L1224">
        <v>4</v>
      </c>
      <c r="O1224">
        <v>10</v>
      </c>
    </row>
    <row r="1225" spans="1:15" x14ac:dyDescent="0.2">
      <c r="A1225" t="s">
        <v>59</v>
      </c>
      <c r="B1225">
        <v>1</v>
      </c>
      <c r="C1225" t="s">
        <v>28</v>
      </c>
      <c r="D1225">
        <v>8</v>
      </c>
      <c r="E1225">
        <v>0.68379999999999996</v>
      </c>
      <c r="F1225">
        <v>8.1999999999999993</v>
      </c>
      <c r="G1225">
        <v>0.49199999999999999</v>
      </c>
      <c r="L1225">
        <v>4</v>
      </c>
      <c r="O1225">
        <v>10</v>
      </c>
    </row>
    <row r="1226" spans="1:15" x14ac:dyDescent="0.2">
      <c r="A1226" t="s">
        <v>59</v>
      </c>
      <c r="B1226">
        <v>1</v>
      </c>
      <c r="C1226" t="s">
        <v>28</v>
      </c>
      <c r="D1226">
        <v>9</v>
      </c>
      <c r="E1226">
        <v>0.5353</v>
      </c>
      <c r="F1226">
        <v>5.5</v>
      </c>
      <c r="G1226">
        <v>0.32700000000000001</v>
      </c>
      <c r="L1226">
        <v>4</v>
      </c>
      <c r="O1226">
        <v>10</v>
      </c>
    </row>
    <row r="1227" spans="1:15" x14ac:dyDescent="0.2">
      <c r="A1227" t="s">
        <v>59</v>
      </c>
      <c r="B1227">
        <v>1</v>
      </c>
      <c r="C1227" t="s">
        <v>29</v>
      </c>
      <c r="D1227">
        <v>1</v>
      </c>
      <c r="E1227">
        <v>1.5176000000000001</v>
      </c>
      <c r="F1227">
        <v>6.1</v>
      </c>
      <c r="G1227">
        <v>5.1999999999999998E-2</v>
      </c>
      <c r="L1227">
        <v>4</v>
      </c>
      <c r="O1227">
        <v>30</v>
      </c>
    </row>
    <row r="1228" spans="1:15" x14ac:dyDescent="0.2">
      <c r="A1228" t="s">
        <v>59</v>
      </c>
      <c r="B1228">
        <v>1</v>
      </c>
      <c r="C1228" t="s">
        <v>29</v>
      </c>
      <c r="D1228">
        <v>2</v>
      </c>
      <c r="E1228">
        <v>1.3671</v>
      </c>
      <c r="F1228">
        <v>6.7</v>
      </c>
      <c r="G1228">
        <v>8.6999999999999994E-2</v>
      </c>
      <c r="L1228">
        <v>4</v>
      </c>
      <c r="O1228">
        <v>30</v>
      </c>
    </row>
    <row r="1229" spans="1:15" x14ac:dyDescent="0.2">
      <c r="A1229" t="s">
        <v>59</v>
      </c>
      <c r="B1229">
        <v>1</v>
      </c>
      <c r="C1229" t="s">
        <v>29</v>
      </c>
      <c r="D1229">
        <v>3</v>
      </c>
      <c r="E1229">
        <v>1.4333</v>
      </c>
      <c r="F1229">
        <v>7.9</v>
      </c>
      <c r="G1229">
        <v>6.2E-2</v>
      </c>
      <c r="L1229">
        <v>4</v>
      </c>
      <c r="O1229">
        <v>30</v>
      </c>
    </row>
    <row r="1230" spans="1:15" x14ac:dyDescent="0.2">
      <c r="A1230" t="s">
        <v>59</v>
      </c>
      <c r="B1230">
        <v>1</v>
      </c>
      <c r="C1230" t="s">
        <v>29</v>
      </c>
      <c r="D1230">
        <v>4</v>
      </c>
      <c r="E1230">
        <v>1.7606999999999999</v>
      </c>
      <c r="F1230">
        <v>8.3000000000000007</v>
      </c>
      <c r="G1230">
        <v>9.6000000000000002E-2</v>
      </c>
      <c r="L1230">
        <v>4</v>
      </c>
      <c r="O1230">
        <v>30</v>
      </c>
    </row>
    <row r="1231" spans="1:15" x14ac:dyDescent="0.2">
      <c r="A1231" t="s">
        <v>59</v>
      </c>
      <c r="B1231">
        <v>1</v>
      </c>
      <c r="C1231" t="s">
        <v>29</v>
      </c>
      <c r="D1231">
        <v>5</v>
      </c>
      <c r="E1231">
        <v>1.4133</v>
      </c>
      <c r="F1231">
        <v>7.7</v>
      </c>
      <c r="G1231">
        <v>4.7E-2</v>
      </c>
      <c r="L1231">
        <v>4</v>
      </c>
      <c r="O1231">
        <v>30</v>
      </c>
    </row>
    <row r="1232" spans="1:15" x14ac:dyDescent="0.2">
      <c r="A1232" t="s">
        <v>59</v>
      </c>
      <c r="B1232">
        <v>1</v>
      </c>
      <c r="C1232" t="s">
        <v>29</v>
      </c>
      <c r="D1232">
        <v>6</v>
      </c>
      <c r="E1232">
        <v>1.4761</v>
      </c>
      <c r="F1232">
        <v>9.6</v>
      </c>
      <c r="G1232">
        <v>9.8000000000000004E-2</v>
      </c>
      <c r="L1232">
        <v>4</v>
      </c>
      <c r="O1232">
        <v>30</v>
      </c>
    </row>
    <row r="1233" spans="1:15" x14ac:dyDescent="0.2">
      <c r="A1233" t="s">
        <v>59</v>
      </c>
      <c r="B1233">
        <v>1</v>
      </c>
      <c r="C1233" t="s">
        <v>29</v>
      </c>
      <c r="D1233">
        <v>7</v>
      </c>
      <c r="E1233">
        <v>1.4086000000000001</v>
      </c>
      <c r="F1233">
        <v>9.6</v>
      </c>
      <c r="G1233">
        <v>6.2E-2</v>
      </c>
      <c r="L1233">
        <v>4</v>
      </c>
      <c r="O1233">
        <v>30</v>
      </c>
    </row>
    <row r="1234" spans="1:15" x14ac:dyDescent="0.2">
      <c r="A1234" t="s">
        <v>59</v>
      </c>
      <c r="B1234">
        <v>1</v>
      </c>
      <c r="C1234" t="s">
        <v>29</v>
      </c>
      <c r="D1234">
        <v>8</v>
      </c>
      <c r="E1234">
        <v>1.2615000000000001</v>
      </c>
      <c r="F1234">
        <v>12</v>
      </c>
      <c r="G1234">
        <v>8.8999999999999996E-2</v>
      </c>
      <c r="L1234">
        <v>4</v>
      </c>
      <c r="O1234">
        <v>30</v>
      </c>
    </row>
    <row r="1235" spans="1:15" x14ac:dyDescent="0.2">
      <c r="A1235" t="s">
        <v>59</v>
      </c>
      <c r="B1235">
        <v>1</v>
      </c>
      <c r="C1235" t="s">
        <v>29</v>
      </c>
      <c r="D1235">
        <v>9</v>
      </c>
      <c r="E1235">
        <v>1.0924</v>
      </c>
      <c r="F1235">
        <v>11.7</v>
      </c>
      <c r="G1235">
        <v>0.109</v>
      </c>
      <c r="L1235">
        <v>4</v>
      </c>
      <c r="O1235">
        <v>30</v>
      </c>
    </row>
    <row r="1236" spans="1:15" x14ac:dyDescent="0.2">
      <c r="A1236" t="s">
        <v>59</v>
      </c>
      <c r="B1236">
        <v>1</v>
      </c>
      <c r="C1236" t="s">
        <v>27</v>
      </c>
      <c r="D1236">
        <v>1</v>
      </c>
      <c r="E1236">
        <v>0.61950000000000005</v>
      </c>
      <c r="F1236">
        <v>12.1</v>
      </c>
      <c r="G1236">
        <v>0.35599999999999998</v>
      </c>
      <c r="L1236">
        <v>4</v>
      </c>
      <c r="O1236">
        <v>15</v>
      </c>
    </row>
    <row r="1237" spans="1:15" x14ac:dyDescent="0.2">
      <c r="A1237" t="s">
        <v>59</v>
      </c>
      <c r="B1237">
        <v>1</v>
      </c>
      <c r="C1237" t="s">
        <v>27</v>
      </c>
      <c r="D1237">
        <v>2</v>
      </c>
      <c r="E1237">
        <v>0.76859999999999995</v>
      </c>
      <c r="F1237">
        <v>11.5</v>
      </c>
      <c r="G1237">
        <v>0.99199999999999999</v>
      </c>
      <c r="L1237">
        <v>4</v>
      </c>
      <c r="O1237">
        <v>15</v>
      </c>
    </row>
    <row r="1238" spans="1:15" x14ac:dyDescent="0.2">
      <c r="A1238" t="s">
        <v>59</v>
      </c>
      <c r="B1238">
        <v>1</v>
      </c>
      <c r="C1238" t="s">
        <v>27</v>
      </c>
      <c r="D1238">
        <v>3</v>
      </c>
      <c r="E1238">
        <v>0.80359999999999998</v>
      </c>
      <c r="F1238">
        <v>14.5</v>
      </c>
      <c r="G1238">
        <v>1.23</v>
      </c>
      <c r="L1238">
        <v>4</v>
      </c>
      <c r="O1238">
        <v>15</v>
      </c>
    </row>
    <row r="1239" spans="1:15" x14ac:dyDescent="0.2">
      <c r="A1239" t="s">
        <v>59</v>
      </c>
      <c r="B1239">
        <v>1</v>
      </c>
      <c r="C1239" t="s">
        <v>27</v>
      </c>
      <c r="D1239">
        <v>4</v>
      </c>
      <c r="E1239">
        <v>1.5701000000000001</v>
      </c>
      <c r="F1239">
        <v>12</v>
      </c>
      <c r="G1239">
        <v>0.99199999999999999</v>
      </c>
      <c r="L1239">
        <v>4</v>
      </c>
      <c r="O1239">
        <v>15</v>
      </c>
    </row>
    <row r="1240" spans="1:15" x14ac:dyDescent="0.2">
      <c r="A1240" t="s">
        <v>59</v>
      </c>
      <c r="B1240">
        <v>1</v>
      </c>
      <c r="C1240" t="s">
        <v>27</v>
      </c>
      <c r="D1240">
        <v>5</v>
      </c>
      <c r="E1240">
        <v>0.83340000000000003</v>
      </c>
      <c r="F1240">
        <v>18.3</v>
      </c>
      <c r="G1240">
        <v>1.016</v>
      </c>
      <c r="L1240">
        <v>4</v>
      </c>
      <c r="O1240">
        <v>15</v>
      </c>
    </row>
    <row r="1241" spans="1:15" x14ac:dyDescent="0.2">
      <c r="A1241" t="s">
        <v>59</v>
      </c>
      <c r="B1241">
        <v>1</v>
      </c>
      <c r="C1241" t="s">
        <v>27</v>
      </c>
      <c r="D1241">
        <v>6</v>
      </c>
      <c r="E1241">
        <v>0.6845</v>
      </c>
      <c r="F1241">
        <v>10</v>
      </c>
      <c r="G1241">
        <v>0.39700000000000002</v>
      </c>
      <c r="L1241">
        <v>4</v>
      </c>
      <c r="O1241">
        <v>15</v>
      </c>
    </row>
    <row r="1242" spans="1:15" x14ac:dyDescent="0.2">
      <c r="A1242" t="s">
        <v>59</v>
      </c>
      <c r="B1242">
        <v>1</v>
      </c>
      <c r="C1242" t="s">
        <v>27</v>
      </c>
      <c r="D1242">
        <v>7</v>
      </c>
      <c r="E1242">
        <v>0.62580000000000002</v>
      </c>
      <c r="F1242">
        <v>9.3000000000000007</v>
      </c>
      <c r="G1242">
        <v>0.40600000000000003</v>
      </c>
      <c r="L1242">
        <v>4</v>
      </c>
      <c r="O1242">
        <v>15</v>
      </c>
    </row>
    <row r="1243" spans="1:15" x14ac:dyDescent="0.2">
      <c r="A1243" t="s">
        <v>59</v>
      </c>
      <c r="B1243">
        <v>1</v>
      </c>
      <c r="C1243" t="s">
        <v>27</v>
      </c>
      <c r="D1243">
        <v>8</v>
      </c>
      <c r="E1243">
        <v>1.0889</v>
      </c>
      <c r="F1243">
        <v>10</v>
      </c>
      <c r="G1243">
        <v>0.65900000000000003</v>
      </c>
      <c r="L1243">
        <v>4</v>
      </c>
      <c r="O1243">
        <v>15</v>
      </c>
    </row>
    <row r="1244" spans="1:15" x14ac:dyDescent="0.2">
      <c r="A1244" t="s">
        <v>59</v>
      </c>
      <c r="B1244">
        <v>1</v>
      </c>
      <c r="C1244" t="s">
        <v>27</v>
      </c>
      <c r="D1244">
        <v>9</v>
      </c>
      <c r="E1244">
        <v>1.2478</v>
      </c>
      <c r="F1244">
        <v>6.8</v>
      </c>
      <c r="G1244">
        <v>0.79</v>
      </c>
      <c r="L1244">
        <v>4</v>
      </c>
      <c r="O1244">
        <v>15</v>
      </c>
    </row>
    <row r="1245" spans="1:15" x14ac:dyDescent="0.2">
      <c r="A1245" t="s">
        <v>59</v>
      </c>
      <c r="B1245">
        <v>1</v>
      </c>
      <c r="C1245" t="s">
        <v>30</v>
      </c>
      <c r="D1245">
        <v>1</v>
      </c>
      <c r="E1245">
        <v>0.9294</v>
      </c>
      <c r="F1245">
        <v>37.799999999999997</v>
      </c>
      <c r="G1245">
        <v>8.5999999999999993E-2</v>
      </c>
      <c r="L1245">
        <v>4</v>
      </c>
      <c r="O1245">
        <v>45</v>
      </c>
    </row>
    <row r="1246" spans="1:15" x14ac:dyDescent="0.2">
      <c r="A1246" t="s">
        <v>59</v>
      </c>
      <c r="B1246">
        <v>1</v>
      </c>
      <c r="C1246" t="s">
        <v>30</v>
      </c>
      <c r="D1246">
        <v>2</v>
      </c>
      <c r="E1246">
        <v>0.79879999999999995</v>
      </c>
      <c r="F1246">
        <v>27.1</v>
      </c>
      <c r="G1246">
        <v>0.05</v>
      </c>
      <c r="L1246">
        <v>4</v>
      </c>
      <c r="O1246">
        <v>45</v>
      </c>
    </row>
    <row r="1247" spans="1:15" x14ac:dyDescent="0.2">
      <c r="A1247" t="s">
        <v>59</v>
      </c>
      <c r="B1247">
        <v>1</v>
      </c>
      <c r="C1247" t="s">
        <v>30</v>
      </c>
      <c r="D1247">
        <v>3</v>
      </c>
      <c r="E1247">
        <v>0.95040000000000002</v>
      </c>
      <c r="F1247">
        <v>23.4</v>
      </c>
      <c r="G1247">
        <v>9.6000000000000002E-2</v>
      </c>
      <c r="L1247">
        <v>4</v>
      </c>
      <c r="O1247">
        <v>45</v>
      </c>
    </row>
    <row r="1248" spans="1:15" x14ac:dyDescent="0.2">
      <c r="A1248" t="s">
        <v>59</v>
      </c>
      <c r="B1248">
        <v>1</v>
      </c>
      <c r="C1248" t="s">
        <v>30</v>
      </c>
      <c r="D1248">
        <v>4</v>
      </c>
      <c r="E1248">
        <v>1.0786</v>
      </c>
      <c r="F1248">
        <v>24.2</v>
      </c>
      <c r="G1248">
        <v>9.1999999999999998E-2</v>
      </c>
      <c r="L1248">
        <v>4</v>
      </c>
      <c r="O1248">
        <v>45</v>
      </c>
    </row>
    <row r="1249" spans="1:15" x14ac:dyDescent="0.2">
      <c r="A1249" t="s">
        <v>59</v>
      </c>
      <c r="B1249">
        <v>1</v>
      </c>
      <c r="C1249" t="s">
        <v>30</v>
      </c>
      <c r="D1249">
        <v>5</v>
      </c>
      <c r="E1249">
        <v>0.74750000000000005</v>
      </c>
      <c r="F1249">
        <v>34.4</v>
      </c>
      <c r="G1249">
        <v>5.8000000000000003E-2</v>
      </c>
      <c r="L1249">
        <v>4</v>
      </c>
      <c r="O1249">
        <v>45</v>
      </c>
    </row>
    <row r="1250" spans="1:15" x14ac:dyDescent="0.2">
      <c r="A1250" t="s">
        <v>59</v>
      </c>
      <c r="B1250">
        <v>1</v>
      </c>
      <c r="C1250" t="s">
        <v>30</v>
      </c>
      <c r="D1250">
        <v>6</v>
      </c>
      <c r="E1250">
        <v>0.82940000000000003</v>
      </c>
      <c r="F1250">
        <v>26</v>
      </c>
      <c r="G1250">
        <v>0.06</v>
      </c>
      <c r="L1250">
        <v>4</v>
      </c>
      <c r="O1250">
        <v>45</v>
      </c>
    </row>
    <row r="1251" spans="1:15" x14ac:dyDescent="0.2">
      <c r="A1251" t="s">
        <v>59</v>
      </c>
      <c r="B1251">
        <v>1</v>
      </c>
      <c r="C1251" t="s">
        <v>30</v>
      </c>
      <c r="D1251">
        <v>7</v>
      </c>
      <c r="E1251">
        <v>0.85809999999999997</v>
      </c>
      <c r="F1251">
        <v>22.2</v>
      </c>
      <c r="G1251">
        <v>7.9000000000000001E-2</v>
      </c>
      <c r="L1251">
        <v>4</v>
      </c>
      <c r="O1251">
        <v>45</v>
      </c>
    </row>
    <row r="1252" spans="1:15" x14ac:dyDescent="0.2">
      <c r="A1252" t="s">
        <v>59</v>
      </c>
      <c r="B1252">
        <v>1</v>
      </c>
      <c r="C1252" t="s">
        <v>30</v>
      </c>
      <c r="D1252">
        <v>8</v>
      </c>
      <c r="E1252">
        <v>1.4141999999999999</v>
      </c>
      <c r="F1252">
        <v>33.200000000000003</v>
      </c>
      <c r="G1252">
        <v>0.13500000000000001</v>
      </c>
      <c r="L1252">
        <v>4</v>
      </c>
      <c r="O1252">
        <v>45</v>
      </c>
    </row>
    <row r="1253" spans="1:15" x14ac:dyDescent="0.2">
      <c r="A1253" t="s">
        <v>59</v>
      </c>
      <c r="B1253">
        <v>1</v>
      </c>
      <c r="C1253" t="s">
        <v>30</v>
      </c>
      <c r="D1253">
        <v>9</v>
      </c>
      <c r="E1253">
        <v>0.86329999999999996</v>
      </c>
      <c r="F1253">
        <v>38.200000000000003</v>
      </c>
      <c r="G1253">
        <v>5.8999999999999997E-2</v>
      </c>
      <c r="L1253">
        <v>4</v>
      </c>
      <c r="O1253">
        <v>45</v>
      </c>
    </row>
    <row r="1254" spans="1:15" x14ac:dyDescent="0.2">
      <c r="A1254" t="s">
        <v>59</v>
      </c>
      <c r="B1254">
        <v>2</v>
      </c>
      <c r="C1254" t="s">
        <v>28</v>
      </c>
      <c r="D1254">
        <v>1</v>
      </c>
      <c r="E1254">
        <v>0.56920000000000004</v>
      </c>
      <c r="F1254">
        <v>12.9</v>
      </c>
      <c r="G1254">
        <v>6.4000000000000001E-2</v>
      </c>
      <c r="L1254">
        <v>3.57</v>
      </c>
      <c r="O1254">
        <v>5</v>
      </c>
    </row>
    <row r="1255" spans="1:15" x14ac:dyDescent="0.2">
      <c r="A1255" t="s">
        <v>59</v>
      </c>
      <c r="B1255">
        <v>2</v>
      </c>
      <c r="C1255" t="s">
        <v>28</v>
      </c>
      <c r="D1255">
        <v>2</v>
      </c>
      <c r="E1255">
        <v>0.59750000000000003</v>
      </c>
      <c r="F1255">
        <v>11.9</v>
      </c>
      <c r="G1255">
        <v>9.8000000000000004E-2</v>
      </c>
      <c r="L1255">
        <v>3.57</v>
      </c>
      <c r="O1255">
        <v>5</v>
      </c>
    </row>
    <row r="1256" spans="1:15" x14ac:dyDescent="0.2">
      <c r="A1256" t="s">
        <v>59</v>
      </c>
      <c r="B1256">
        <v>2</v>
      </c>
      <c r="C1256" t="s">
        <v>28</v>
      </c>
      <c r="D1256">
        <v>3</v>
      </c>
      <c r="E1256">
        <v>0.60799999999999998</v>
      </c>
      <c r="F1256">
        <v>13.1</v>
      </c>
      <c r="G1256">
        <v>0.14599999999999999</v>
      </c>
      <c r="L1256">
        <v>3.57</v>
      </c>
      <c r="O1256">
        <v>5</v>
      </c>
    </row>
    <row r="1257" spans="1:15" x14ac:dyDescent="0.2">
      <c r="A1257" t="s">
        <v>59</v>
      </c>
      <c r="B1257">
        <v>2</v>
      </c>
      <c r="C1257" t="s">
        <v>28</v>
      </c>
      <c r="D1257">
        <v>4</v>
      </c>
      <c r="E1257">
        <v>0.44479999999999997</v>
      </c>
      <c r="F1257">
        <v>13.2</v>
      </c>
      <c r="G1257">
        <v>0.08</v>
      </c>
      <c r="L1257">
        <v>3.57</v>
      </c>
      <c r="O1257">
        <v>5</v>
      </c>
    </row>
    <row r="1258" spans="1:15" x14ac:dyDescent="0.2">
      <c r="A1258" t="s">
        <v>59</v>
      </c>
      <c r="B1258">
        <v>2</v>
      </c>
      <c r="C1258" t="s">
        <v>28</v>
      </c>
      <c r="D1258">
        <v>5</v>
      </c>
      <c r="E1258">
        <v>0.49569999999999997</v>
      </c>
      <c r="F1258">
        <v>14</v>
      </c>
      <c r="G1258">
        <v>0.115</v>
      </c>
      <c r="L1258">
        <v>3.57</v>
      </c>
      <c r="O1258">
        <v>5</v>
      </c>
    </row>
    <row r="1259" spans="1:15" x14ac:dyDescent="0.2">
      <c r="A1259" t="s">
        <v>59</v>
      </c>
      <c r="B1259">
        <v>2</v>
      </c>
      <c r="C1259" t="s">
        <v>28</v>
      </c>
      <c r="D1259">
        <v>6</v>
      </c>
      <c r="E1259">
        <v>0.5171</v>
      </c>
      <c r="F1259">
        <v>12</v>
      </c>
      <c r="G1259">
        <v>0.107</v>
      </c>
      <c r="L1259">
        <v>3.57</v>
      </c>
      <c r="O1259">
        <v>5</v>
      </c>
    </row>
    <row r="1260" spans="1:15" x14ac:dyDescent="0.2">
      <c r="A1260" t="s">
        <v>59</v>
      </c>
      <c r="B1260">
        <v>2</v>
      </c>
      <c r="C1260" t="s">
        <v>28</v>
      </c>
      <c r="D1260">
        <v>7</v>
      </c>
      <c r="E1260">
        <v>0.50049999999999994</v>
      </c>
      <c r="F1260">
        <v>14.2</v>
      </c>
      <c r="G1260">
        <v>9.1999999999999998E-2</v>
      </c>
      <c r="L1260">
        <v>3.57</v>
      </c>
      <c r="O1260">
        <v>5</v>
      </c>
    </row>
    <row r="1261" spans="1:15" x14ac:dyDescent="0.2">
      <c r="A1261" t="s">
        <v>59</v>
      </c>
      <c r="B1261">
        <v>2</v>
      </c>
      <c r="C1261" t="s">
        <v>28</v>
      </c>
      <c r="D1261">
        <v>8</v>
      </c>
      <c r="E1261">
        <v>0.59950000000000003</v>
      </c>
      <c r="F1261">
        <v>12.4</v>
      </c>
      <c r="G1261">
        <v>5.8000000000000003E-2</v>
      </c>
      <c r="L1261">
        <v>3.57</v>
      </c>
      <c r="O1261">
        <v>5</v>
      </c>
    </row>
    <row r="1262" spans="1:15" x14ac:dyDescent="0.2">
      <c r="A1262" t="s">
        <v>59</v>
      </c>
      <c r="B1262">
        <v>2</v>
      </c>
      <c r="C1262" t="s">
        <v>28</v>
      </c>
      <c r="D1262">
        <v>9</v>
      </c>
      <c r="E1262">
        <v>0.57569999999999999</v>
      </c>
      <c r="F1262">
        <v>14.4</v>
      </c>
      <c r="G1262">
        <v>6.4000000000000001E-2</v>
      </c>
      <c r="L1262">
        <v>3.57</v>
      </c>
      <c r="O1262">
        <v>5</v>
      </c>
    </row>
    <row r="1263" spans="1:15" x14ac:dyDescent="0.2">
      <c r="A1263" t="s">
        <v>59</v>
      </c>
      <c r="B1263">
        <v>2</v>
      </c>
      <c r="C1263" t="s">
        <v>27</v>
      </c>
      <c r="D1263">
        <v>1</v>
      </c>
      <c r="E1263">
        <v>0.61219999999999997</v>
      </c>
      <c r="F1263">
        <v>28.2</v>
      </c>
      <c r="G1263">
        <v>0.69099999999999995</v>
      </c>
      <c r="L1263">
        <v>3.57</v>
      </c>
      <c r="O1263">
        <v>5</v>
      </c>
    </row>
    <row r="1264" spans="1:15" x14ac:dyDescent="0.2">
      <c r="A1264" t="s">
        <v>59</v>
      </c>
      <c r="B1264">
        <v>2</v>
      </c>
      <c r="C1264" t="s">
        <v>27</v>
      </c>
      <c r="D1264">
        <v>2</v>
      </c>
      <c r="E1264">
        <v>0.68340000000000001</v>
      </c>
      <c r="F1264">
        <v>29</v>
      </c>
      <c r="G1264">
        <v>0.375</v>
      </c>
      <c r="L1264">
        <v>3.57</v>
      </c>
      <c r="O1264">
        <v>5</v>
      </c>
    </row>
    <row r="1265" spans="1:15" x14ac:dyDescent="0.2">
      <c r="A1265" t="s">
        <v>59</v>
      </c>
      <c r="B1265">
        <v>2</v>
      </c>
      <c r="C1265" t="s">
        <v>27</v>
      </c>
      <c r="D1265">
        <v>3</v>
      </c>
      <c r="E1265">
        <v>0.68859999999999999</v>
      </c>
      <c r="F1265">
        <v>12.9</v>
      </c>
      <c r="G1265">
        <v>0.56299999999999994</v>
      </c>
      <c r="L1265">
        <v>3.57</v>
      </c>
      <c r="O1265">
        <v>5</v>
      </c>
    </row>
    <row r="1266" spans="1:15" x14ac:dyDescent="0.2">
      <c r="A1266" t="s">
        <v>59</v>
      </c>
      <c r="B1266">
        <v>2</v>
      </c>
      <c r="C1266" t="s">
        <v>27</v>
      </c>
      <c r="D1266">
        <v>4</v>
      </c>
      <c r="E1266">
        <v>0.78449999999999998</v>
      </c>
      <c r="F1266">
        <v>32.5</v>
      </c>
      <c r="G1266">
        <v>0.81799999999999995</v>
      </c>
      <c r="L1266">
        <v>3.57</v>
      </c>
      <c r="O1266">
        <v>5</v>
      </c>
    </row>
    <row r="1267" spans="1:15" x14ac:dyDescent="0.2">
      <c r="A1267" t="s">
        <v>59</v>
      </c>
      <c r="B1267">
        <v>2</v>
      </c>
      <c r="C1267" t="s">
        <v>27</v>
      </c>
      <c r="D1267">
        <v>5</v>
      </c>
      <c r="E1267">
        <v>0.5635</v>
      </c>
      <c r="F1267">
        <v>28.1</v>
      </c>
      <c r="G1267">
        <v>0.28899999999999998</v>
      </c>
      <c r="L1267">
        <v>3.57</v>
      </c>
      <c r="O1267">
        <v>5</v>
      </c>
    </row>
    <row r="1268" spans="1:15" x14ac:dyDescent="0.2">
      <c r="A1268" t="s">
        <v>59</v>
      </c>
      <c r="B1268">
        <v>2</v>
      </c>
      <c r="C1268" t="s">
        <v>27</v>
      </c>
      <c r="D1268">
        <v>6</v>
      </c>
      <c r="E1268">
        <v>0.83809999999999996</v>
      </c>
      <c r="F1268">
        <v>33.700000000000003</v>
      </c>
      <c r="G1268">
        <v>0.47699999999999998</v>
      </c>
      <c r="L1268">
        <v>3.57</v>
      </c>
      <c r="O1268">
        <v>5</v>
      </c>
    </row>
    <row r="1269" spans="1:15" x14ac:dyDescent="0.2">
      <c r="A1269" t="s">
        <v>59</v>
      </c>
      <c r="B1269">
        <v>2</v>
      </c>
      <c r="C1269" t="s">
        <v>27</v>
      </c>
      <c r="D1269">
        <v>7</v>
      </c>
      <c r="E1269">
        <v>0.55179999999999996</v>
      </c>
      <c r="F1269">
        <v>12.8</v>
      </c>
      <c r="G1269">
        <v>0.22900000000000001</v>
      </c>
      <c r="L1269">
        <v>3.57</v>
      </c>
      <c r="O1269">
        <v>5</v>
      </c>
    </row>
    <row r="1270" spans="1:15" x14ac:dyDescent="0.2">
      <c r="A1270" t="s">
        <v>59</v>
      </c>
      <c r="B1270">
        <v>2</v>
      </c>
      <c r="C1270" t="s">
        <v>27</v>
      </c>
      <c r="D1270">
        <v>8</v>
      </c>
      <c r="E1270">
        <v>0.52459999999999996</v>
      </c>
      <c r="F1270">
        <v>35.200000000000003</v>
      </c>
      <c r="G1270">
        <v>0.35499999999999998</v>
      </c>
      <c r="L1270">
        <v>3.57</v>
      </c>
      <c r="O1270">
        <v>5</v>
      </c>
    </row>
    <row r="1271" spans="1:15" x14ac:dyDescent="0.2">
      <c r="A1271" t="s">
        <v>59</v>
      </c>
      <c r="B1271">
        <v>2</v>
      </c>
      <c r="C1271" t="s">
        <v>27</v>
      </c>
      <c r="D1271">
        <v>9</v>
      </c>
      <c r="E1271">
        <v>0.53090000000000004</v>
      </c>
      <c r="F1271">
        <v>29.5</v>
      </c>
      <c r="G1271">
        <v>0.27600000000000002</v>
      </c>
      <c r="L1271">
        <v>3.57</v>
      </c>
      <c r="O1271">
        <v>5</v>
      </c>
    </row>
    <row r="1272" spans="1:15" x14ac:dyDescent="0.2">
      <c r="A1272" t="s">
        <v>59</v>
      </c>
      <c r="B1272">
        <v>2</v>
      </c>
      <c r="C1272" t="s">
        <v>30</v>
      </c>
      <c r="D1272">
        <v>1</v>
      </c>
      <c r="E1272">
        <v>0.90129999999999999</v>
      </c>
      <c r="F1272">
        <v>29.3</v>
      </c>
      <c r="G1272">
        <v>7.1999999999999995E-2</v>
      </c>
      <c r="L1272">
        <v>3.57</v>
      </c>
      <c r="O1272">
        <v>80</v>
      </c>
    </row>
    <row r="1273" spans="1:15" x14ac:dyDescent="0.2">
      <c r="A1273" t="s">
        <v>59</v>
      </c>
      <c r="B1273">
        <v>2</v>
      </c>
      <c r="C1273" t="s">
        <v>30</v>
      </c>
      <c r="D1273">
        <v>2</v>
      </c>
      <c r="E1273">
        <v>0.88539999999999996</v>
      </c>
      <c r="F1273">
        <v>29.5</v>
      </c>
      <c r="G1273">
        <v>7.4999999999999997E-2</v>
      </c>
      <c r="L1273">
        <v>3.57</v>
      </c>
      <c r="O1273">
        <v>80</v>
      </c>
    </row>
    <row r="1274" spans="1:15" x14ac:dyDescent="0.2">
      <c r="A1274" t="s">
        <v>59</v>
      </c>
      <c r="B1274">
        <v>2</v>
      </c>
      <c r="C1274" t="s">
        <v>30</v>
      </c>
      <c r="D1274">
        <v>3</v>
      </c>
      <c r="E1274">
        <v>0.95020000000000004</v>
      </c>
      <c r="F1274">
        <v>24.2</v>
      </c>
      <c r="G1274">
        <v>0.112</v>
      </c>
      <c r="L1274">
        <v>3.57</v>
      </c>
      <c r="O1274">
        <v>80</v>
      </c>
    </row>
    <row r="1275" spans="1:15" x14ac:dyDescent="0.2">
      <c r="A1275" t="s">
        <v>59</v>
      </c>
      <c r="B1275">
        <v>2</v>
      </c>
      <c r="C1275" t="s">
        <v>30</v>
      </c>
      <c r="D1275">
        <v>4</v>
      </c>
      <c r="E1275">
        <v>0.7853</v>
      </c>
      <c r="F1275">
        <v>27.9</v>
      </c>
      <c r="G1275">
        <v>0.05</v>
      </c>
      <c r="L1275">
        <v>3.57</v>
      </c>
      <c r="O1275">
        <v>80</v>
      </c>
    </row>
    <row r="1276" spans="1:15" x14ac:dyDescent="0.2">
      <c r="A1276" t="s">
        <v>59</v>
      </c>
      <c r="B1276">
        <v>2</v>
      </c>
      <c r="C1276" t="s">
        <v>30</v>
      </c>
      <c r="D1276">
        <v>5</v>
      </c>
      <c r="E1276">
        <v>0.85529999999999995</v>
      </c>
      <c r="F1276">
        <v>31.1</v>
      </c>
      <c r="G1276">
        <v>4.1000000000000002E-2</v>
      </c>
      <c r="L1276">
        <v>3.57</v>
      </c>
      <c r="O1276">
        <v>80</v>
      </c>
    </row>
    <row r="1277" spans="1:15" x14ac:dyDescent="0.2">
      <c r="A1277" t="s">
        <v>59</v>
      </c>
      <c r="B1277">
        <v>2</v>
      </c>
      <c r="C1277" t="s">
        <v>30</v>
      </c>
      <c r="D1277">
        <v>6</v>
      </c>
      <c r="E1277">
        <v>1.1042000000000001</v>
      </c>
      <c r="F1277">
        <v>32.4</v>
      </c>
      <c r="G1277">
        <v>0.113</v>
      </c>
      <c r="L1277">
        <v>3.57</v>
      </c>
      <c r="O1277">
        <v>80</v>
      </c>
    </row>
    <row r="1278" spans="1:15" x14ac:dyDescent="0.2">
      <c r="A1278" t="s">
        <v>59</v>
      </c>
      <c r="B1278">
        <v>2</v>
      </c>
      <c r="C1278" t="s">
        <v>30</v>
      </c>
      <c r="D1278">
        <v>7</v>
      </c>
      <c r="E1278">
        <v>0.74670000000000003</v>
      </c>
      <c r="F1278">
        <v>32.799999999999997</v>
      </c>
      <c r="G1278">
        <v>6.9000000000000006E-2</v>
      </c>
      <c r="L1278">
        <v>3.57</v>
      </c>
      <c r="O1278">
        <v>80</v>
      </c>
    </row>
    <row r="1279" spans="1:15" x14ac:dyDescent="0.2">
      <c r="A1279" t="s">
        <v>59</v>
      </c>
      <c r="B1279">
        <v>2</v>
      </c>
      <c r="C1279" t="s">
        <v>30</v>
      </c>
      <c r="D1279">
        <v>8</v>
      </c>
      <c r="E1279">
        <v>0.78349999999999997</v>
      </c>
      <c r="F1279">
        <v>39.299999999999997</v>
      </c>
      <c r="G1279">
        <v>5.0999999999999997E-2</v>
      </c>
      <c r="L1279">
        <v>3.57</v>
      </c>
      <c r="O1279">
        <v>80</v>
      </c>
    </row>
    <row r="1280" spans="1:15" x14ac:dyDescent="0.2">
      <c r="A1280" t="s">
        <v>59</v>
      </c>
      <c r="B1280">
        <v>2</v>
      </c>
      <c r="C1280" t="s">
        <v>30</v>
      </c>
      <c r="D1280">
        <v>9</v>
      </c>
      <c r="E1280">
        <v>0.88329999999999997</v>
      </c>
      <c r="F1280">
        <v>30.1</v>
      </c>
      <c r="G1280">
        <v>7.0000000000000007E-2</v>
      </c>
      <c r="L1280">
        <v>3.57</v>
      </c>
      <c r="O1280">
        <v>80</v>
      </c>
    </row>
    <row r="1281" spans="1:15" x14ac:dyDescent="0.2">
      <c r="A1281" t="s">
        <v>59</v>
      </c>
      <c r="B1281">
        <v>3</v>
      </c>
      <c r="C1281" t="s">
        <v>32</v>
      </c>
      <c r="D1281">
        <v>1</v>
      </c>
      <c r="E1281">
        <v>0.30940000000000001</v>
      </c>
      <c r="F1281">
        <v>14.2</v>
      </c>
      <c r="G1281">
        <v>1.0580000000000001</v>
      </c>
      <c r="L1281">
        <v>0.59</v>
      </c>
      <c r="O1281">
        <v>5</v>
      </c>
    </row>
    <row r="1282" spans="1:15" x14ac:dyDescent="0.2">
      <c r="A1282" t="s">
        <v>59</v>
      </c>
      <c r="B1282">
        <v>3</v>
      </c>
      <c r="C1282" t="s">
        <v>32</v>
      </c>
      <c r="D1282">
        <v>2</v>
      </c>
      <c r="E1282">
        <v>0.28220000000000001</v>
      </c>
      <c r="F1282">
        <v>63.1</v>
      </c>
      <c r="G1282">
        <v>0.86599999999999999</v>
      </c>
      <c r="L1282">
        <v>0.59</v>
      </c>
      <c r="O1282">
        <v>5</v>
      </c>
    </row>
    <row r="1283" spans="1:15" x14ac:dyDescent="0.2">
      <c r="A1283" t="s">
        <v>59</v>
      </c>
      <c r="B1283">
        <v>3</v>
      </c>
      <c r="C1283" t="s">
        <v>32</v>
      </c>
      <c r="D1283">
        <v>3</v>
      </c>
      <c r="E1283">
        <v>0.2571</v>
      </c>
      <c r="F1283">
        <v>25.8</v>
      </c>
      <c r="G1283">
        <v>0.98</v>
      </c>
      <c r="L1283">
        <v>0.59</v>
      </c>
      <c r="O1283">
        <v>5</v>
      </c>
    </row>
    <row r="1284" spans="1:15" x14ac:dyDescent="0.2">
      <c r="A1284" t="s">
        <v>59</v>
      </c>
      <c r="B1284">
        <v>3</v>
      </c>
      <c r="C1284" t="s">
        <v>32</v>
      </c>
      <c r="D1284">
        <v>4</v>
      </c>
      <c r="E1284">
        <v>0.27529999999999999</v>
      </c>
      <c r="F1284">
        <v>31.6</v>
      </c>
      <c r="G1284">
        <v>0.93200000000000005</v>
      </c>
      <c r="L1284">
        <v>0.59</v>
      </c>
      <c r="O1284">
        <v>5</v>
      </c>
    </row>
    <row r="1285" spans="1:15" x14ac:dyDescent="0.2">
      <c r="A1285" t="s">
        <v>59</v>
      </c>
      <c r="B1285">
        <v>3</v>
      </c>
      <c r="C1285" t="s">
        <v>32</v>
      </c>
      <c r="D1285">
        <v>5</v>
      </c>
      <c r="E1285">
        <v>0.25480000000000003</v>
      </c>
      <c r="F1285">
        <v>29.9</v>
      </c>
      <c r="G1285">
        <v>1.234</v>
      </c>
      <c r="L1285">
        <v>0.59</v>
      </c>
      <c r="O1285">
        <v>5</v>
      </c>
    </row>
    <row r="1286" spans="1:15" x14ac:dyDescent="0.2">
      <c r="A1286" t="s">
        <v>59</v>
      </c>
      <c r="B1286">
        <v>3</v>
      </c>
      <c r="C1286" t="s">
        <v>32</v>
      </c>
      <c r="D1286">
        <v>6</v>
      </c>
      <c r="E1286">
        <v>0.2175</v>
      </c>
      <c r="F1286">
        <v>18.8</v>
      </c>
      <c r="G1286">
        <v>0.79500000000000004</v>
      </c>
      <c r="L1286">
        <v>0.59</v>
      </c>
      <c r="O1286">
        <v>5</v>
      </c>
    </row>
    <row r="1287" spans="1:15" x14ac:dyDescent="0.2">
      <c r="A1287" t="s">
        <v>59</v>
      </c>
      <c r="B1287">
        <v>3</v>
      </c>
      <c r="C1287" t="s">
        <v>32</v>
      </c>
      <c r="D1287">
        <v>7</v>
      </c>
      <c r="E1287">
        <v>0.28899999999999998</v>
      </c>
      <c r="F1287">
        <v>18</v>
      </c>
      <c r="G1287">
        <v>1.1339999999999999</v>
      </c>
      <c r="L1287">
        <v>0.59</v>
      </c>
      <c r="O1287">
        <v>5</v>
      </c>
    </row>
    <row r="1288" spans="1:15" x14ac:dyDescent="0.2">
      <c r="A1288" t="s">
        <v>59</v>
      </c>
      <c r="B1288">
        <v>3</v>
      </c>
      <c r="C1288" t="s">
        <v>32</v>
      </c>
      <c r="D1288">
        <v>8</v>
      </c>
      <c r="E1288">
        <v>0.2979</v>
      </c>
      <c r="F1288">
        <v>10.3</v>
      </c>
      <c r="G1288">
        <v>0.72299999999999998</v>
      </c>
      <c r="L1288">
        <v>0.59</v>
      </c>
      <c r="O1288">
        <v>5</v>
      </c>
    </row>
    <row r="1289" spans="1:15" x14ac:dyDescent="0.2">
      <c r="A1289" t="s">
        <v>59</v>
      </c>
      <c r="B1289">
        <v>3</v>
      </c>
      <c r="C1289" t="s">
        <v>32</v>
      </c>
      <c r="D1289">
        <v>9</v>
      </c>
      <c r="E1289">
        <v>0.29110000000000003</v>
      </c>
      <c r="F1289">
        <v>22.9</v>
      </c>
      <c r="G1289">
        <v>0.80500000000000005</v>
      </c>
      <c r="L1289">
        <v>0.59</v>
      </c>
      <c r="O1289">
        <v>5</v>
      </c>
    </row>
    <row r="1290" spans="1:15" x14ac:dyDescent="0.2">
      <c r="A1290" t="s">
        <v>59</v>
      </c>
      <c r="B1290">
        <v>3</v>
      </c>
      <c r="C1290" t="s">
        <v>31</v>
      </c>
      <c r="D1290">
        <v>1</v>
      </c>
      <c r="E1290">
        <v>0.41980000000000001</v>
      </c>
      <c r="F1290">
        <v>2.7</v>
      </c>
      <c r="G1290">
        <v>2.161</v>
      </c>
      <c r="L1290">
        <v>0.59</v>
      </c>
      <c r="O1290">
        <v>50</v>
      </c>
    </row>
    <row r="1291" spans="1:15" x14ac:dyDescent="0.2">
      <c r="A1291" t="s">
        <v>59</v>
      </c>
      <c r="B1291">
        <v>3</v>
      </c>
      <c r="C1291" t="s">
        <v>31</v>
      </c>
      <c r="D1291">
        <v>2</v>
      </c>
      <c r="E1291">
        <v>0.35560000000000003</v>
      </c>
      <c r="F1291">
        <v>1.7</v>
      </c>
      <c r="G1291">
        <v>2.1520000000000001</v>
      </c>
      <c r="L1291">
        <v>0.59</v>
      </c>
      <c r="O1291">
        <v>50</v>
      </c>
    </row>
    <row r="1292" spans="1:15" x14ac:dyDescent="0.2">
      <c r="A1292" t="s">
        <v>59</v>
      </c>
      <c r="B1292">
        <v>3</v>
      </c>
      <c r="C1292" t="s">
        <v>31</v>
      </c>
      <c r="D1292">
        <v>3</v>
      </c>
      <c r="E1292">
        <v>0.48720000000000002</v>
      </c>
      <c r="F1292">
        <v>37.5</v>
      </c>
      <c r="G1292">
        <v>3.86</v>
      </c>
      <c r="L1292">
        <v>0.59</v>
      </c>
      <c r="O1292">
        <v>50</v>
      </c>
    </row>
    <row r="1293" spans="1:15" x14ac:dyDescent="0.2">
      <c r="A1293" t="s">
        <v>59</v>
      </c>
      <c r="B1293">
        <v>3</v>
      </c>
      <c r="C1293" t="s">
        <v>31</v>
      </c>
      <c r="D1293">
        <v>4</v>
      </c>
      <c r="E1293">
        <v>0.3987</v>
      </c>
      <c r="F1293">
        <v>27.8</v>
      </c>
      <c r="G1293">
        <v>2.5059999999999998</v>
      </c>
      <c r="L1293">
        <v>0.59</v>
      </c>
      <c r="O1293">
        <v>50</v>
      </c>
    </row>
    <row r="1294" spans="1:15" x14ac:dyDescent="0.2">
      <c r="A1294" t="s">
        <v>59</v>
      </c>
      <c r="B1294">
        <v>3</v>
      </c>
      <c r="C1294" t="s">
        <v>31</v>
      </c>
      <c r="D1294">
        <v>5</v>
      </c>
      <c r="E1294">
        <v>0.43859999999999999</v>
      </c>
      <c r="F1294">
        <v>18.399999999999999</v>
      </c>
      <c r="G1294">
        <v>4.6180000000000003</v>
      </c>
      <c r="L1294">
        <v>0.59</v>
      </c>
      <c r="O1294">
        <v>50</v>
      </c>
    </row>
    <row r="1295" spans="1:15" x14ac:dyDescent="0.2">
      <c r="A1295" t="s">
        <v>59</v>
      </c>
      <c r="B1295">
        <v>3</v>
      </c>
      <c r="C1295" t="s">
        <v>31</v>
      </c>
      <c r="D1295">
        <v>6</v>
      </c>
      <c r="E1295">
        <v>0.30080000000000001</v>
      </c>
      <c r="F1295">
        <v>15.8</v>
      </c>
      <c r="G1295">
        <v>1.9810000000000001</v>
      </c>
      <c r="L1295">
        <v>0.59</v>
      </c>
      <c r="O1295">
        <v>50</v>
      </c>
    </row>
    <row r="1296" spans="1:15" x14ac:dyDescent="0.2">
      <c r="A1296" t="s">
        <v>59</v>
      </c>
      <c r="B1296">
        <v>3</v>
      </c>
      <c r="C1296" t="s">
        <v>31</v>
      </c>
      <c r="D1296">
        <v>7</v>
      </c>
      <c r="E1296">
        <v>0.3422</v>
      </c>
      <c r="F1296">
        <v>121.2</v>
      </c>
      <c r="G1296">
        <v>4.0339999999999998</v>
      </c>
      <c r="L1296">
        <v>0.59</v>
      </c>
      <c r="O1296">
        <v>50</v>
      </c>
    </row>
    <row r="1297" spans="1:15" x14ac:dyDescent="0.2">
      <c r="A1297" t="s">
        <v>59</v>
      </c>
      <c r="B1297">
        <v>3</v>
      </c>
      <c r="C1297" t="s">
        <v>31</v>
      </c>
      <c r="D1297">
        <v>8</v>
      </c>
      <c r="E1297">
        <v>0.35649999999999998</v>
      </c>
      <c r="F1297">
        <v>30.9</v>
      </c>
      <c r="G1297">
        <v>1.252</v>
      </c>
      <c r="L1297">
        <v>0.59</v>
      </c>
      <c r="O1297">
        <v>50</v>
      </c>
    </row>
    <row r="1298" spans="1:15" x14ac:dyDescent="0.2">
      <c r="A1298" t="s">
        <v>59</v>
      </c>
      <c r="B1298">
        <v>3</v>
      </c>
      <c r="C1298" t="s">
        <v>31</v>
      </c>
      <c r="D1298">
        <v>9</v>
      </c>
      <c r="E1298">
        <v>0.30059999999999998</v>
      </c>
      <c r="F1298">
        <v>30</v>
      </c>
      <c r="G1298">
        <v>1.6970000000000001</v>
      </c>
      <c r="L1298">
        <v>0.59</v>
      </c>
      <c r="O1298">
        <v>50</v>
      </c>
    </row>
    <row r="1299" spans="1:15" x14ac:dyDescent="0.2">
      <c r="A1299" t="s">
        <v>59</v>
      </c>
      <c r="B1299">
        <v>3</v>
      </c>
      <c r="C1299" t="s">
        <v>30</v>
      </c>
      <c r="D1299">
        <v>1</v>
      </c>
      <c r="E1299">
        <v>0.62749999999999995</v>
      </c>
      <c r="F1299">
        <v>30.2</v>
      </c>
      <c r="G1299">
        <v>0.11</v>
      </c>
      <c r="L1299">
        <v>0.59</v>
      </c>
      <c r="O1299">
        <v>65</v>
      </c>
    </row>
    <row r="1300" spans="1:15" x14ac:dyDescent="0.2">
      <c r="A1300" t="s">
        <v>59</v>
      </c>
      <c r="B1300">
        <v>3</v>
      </c>
      <c r="C1300" t="s">
        <v>30</v>
      </c>
      <c r="D1300">
        <v>2</v>
      </c>
      <c r="E1300">
        <v>0.52829999999999999</v>
      </c>
      <c r="F1300">
        <v>29.9</v>
      </c>
      <c r="G1300">
        <v>5.7000000000000002E-2</v>
      </c>
      <c r="L1300">
        <v>0.59</v>
      </c>
      <c r="O1300">
        <v>65</v>
      </c>
    </row>
    <row r="1301" spans="1:15" x14ac:dyDescent="0.2">
      <c r="A1301" t="s">
        <v>59</v>
      </c>
      <c r="B1301">
        <v>3</v>
      </c>
      <c r="C1301" t="s">
        <v>30</v>
      </c>
      <c r="D1301">
        <v>3</v>
      </c>
      <c r="E1301">
        <v>0.79530000000000001</v>
      </c>
      <c r="F1301">
        <v>25.9</v>
      </c>
      <c r="G1301">
        <v>0.125</v>
      </c>
      <c r="L1301">
        <v>0.59</v>
      </c>
      <c r="O1301">
        <v>65</v>
      </c>
    </row>
    <row r="1302" spans="1:15" x14ac:dyDescent="0.2">
      <c r="A1302" t="s">
        <v>59</v>
      </c>
      <c r="B1302">
        <v>3</v>
      </c>
      <c r="C1302" t="s">
        <v>30</v>
      </c>
      <c r="D1302">
        <v>4</v>
      </c>
      <c r="E1302">
        <v>0.70130000000000003</v>
      </c>
      <c r="F1302">
        <v>27.7</v>
      </c>
      <c r="G1302">
        <v>8.8999999999999996E-2</v>
      </c>
      <c r="L1302">
        <v>0.59</v>
      </c>
      <c r="O1302">
        <v>65</v>
      </c>
    </row>
    <row r="1303" spans="1:15" x14ac:dyDescent="0.2">
      <c r="A1303" t="s">
        <v>59</v>
      </c>
      <c r="B1303">
        <v>3</v>
      </c>
      <c r="C1303" t="s">
        <v>30</v>
      </c>
      <c r="D1303">
        <v>5</v>
      </c>
      <c r="E1303">
        <v>0.70640000000000003</v>
      </c>
      <c r="F1303">
        <v>35.6</v>
      </c>
      <c r="G1303">
        <v>0.127</v>
      </c>
      <c r="L1303">
        <v>0.59</v>
      </c>
      <c r="O1303">
        <v>65</v>
      </c>
    </row>
    <row r="1304" spans="1:15" x14ac:dyDescent="0.2">
      <c r="A1304" t="s">
        <v>59</v>
      </c>
      <c r="B1304">
        <v>3</v>
      </c>
      <c r="C1304" t="s">
        <v>30</v>
      </c>
      <c r="D1304">
        <v>6</v>
      </c>
      <c r="E1304">
        <v>0.4632</v>
      </c>
      <c r="F1304">
        <v>35.200000000000003</v>
      </c>
      <c r="G1304">
        <v>8.5000000000000006E-2</v>
      </c>
      <c r="L1304">
        <v>0.59</v>
      </c>
      <c r="O1304">
        <v>65</v>
      </c>
    </row>
    <row r="1305" spans="1:15" x14ac:dyDescent="0.2">
      <c r="A1305" t="s">
        <v>59</v>
      </c>
      <c r="B1305">
        <v>3</v>
      </c>
      <c r="C1305" t="s">
        <v>30</v>
      </c>
      <c r="D1305">
        <v>7</v>
      </c>
      <c r="E1305">
        <v>0.63080000000000003</v>
      </c>
      <c r="F1305">
        <v>35.1</v>
      </c>
      <c r="G1305">
        <v>8.7999999999999995E-2</v>
      </c>
      <c r="L1305">
        <v>0.59</v>
      </c>
      <c r="O1305">
        <v>65</v>
      </c>
    </row>
    <row r="1306" spans="1:15" x14ac:dyDescent="0.2">
      <c r="A1306" t="s">
        <v>59</v>
      </c>
      <c r="B1306">
        <v>3</v>
      </c>
      <c r="C1306" t="s">
        <v>30</v>
      </c>
      <c r="D1306">
        <v>8</v>
      </c>
      <c r="E1306">
        <v>0.65159999999999996</v>
      </c>
      <c r="F1306">
        <v>35.700000000000003</v>
      </c>
      <c r="G1306">
        <v>6.6000000000000003E-2</v>
      </c>
      <c r="L1306">
        <v>0.59</v>
      </c>
      <c r="O1306">
        <v>65</v>
      </c>
    </row>
    <row r="1307" spans="1:15" x14ac:dyDescent="0.2">
      <c r="A1307" t="s">
        <v>59</v>
      </c>
      <c r="B1307">
        <v>3</v>
      </c>
      <c r="C1307" t="s">
        <v>30</v>
      </c>
      <c r="D1307">
        <v>9</v>
      </c>
      <c r="E1307">
        <v>0.52669999999999995</v>
      </c>
      <c r="F1307">
        <v>33.6</v>
      </c>
      <c r="G1307">
        <v>5.3999999999999999E-2</v>
      </c>
      <c r="L1307">
        <v>0.59</v>
      </c>
      <c r="O1307">
        <v>65</v>
      </c>
    </row>
    <row r="1308" spans="1:15" x14ac:dyDescent="0.2">
      <c r="A1308" t="s">
        <v>59</v>
      </c>
      <c r="B1308">
        <v>4</v>
      </c>
      <c r="C1308" t="s">
        <v>35</v>
      </c>
      <c r="D1308">
        <v>1</v>
      </c>
      <c r="E1308">
        <v>0.4032</v>
      </c>
      <c r="F1308">
        <v>51</v>
      </c>
      <c r="G1308">
        <v>0.26300000000000001</v>
      </c>
      <c r="L1308">
        <v>5.5E-2</v>
      </c>
      <c r="O1308">
        <v>5</v>
      </c>
    </row>
    <row r="1309" spans="1:15" x14ac:dyDescent="0.2">
      <c r="A1309" t="s">
        <v>59</v>
      </c>
      <c r="B1309">
        <v>4</v>
      </c>
      <c r="C1309" t="s">
        <v>35</v>
      </c>
      <c r="D1309">
        <v>2</v>
      </c>
      <c r="E1309">
        <v>0.49130000000000001</v>
      </c>
      <c r="F1309">
        <v>74.099999999999994</v>
      </c>
      <c r="G1309">
        <v>0.312</v>
      </c>
      <c r="L1309">
        <v>5.5E-2</v>
      </c>
      <c r="O1309">
        <v>5</v>
      </c>
    </row>
    <row r="1310" spans="1:15" x14ac:dyDescent="0.2">
      <c r="A1310" t="s">
        <v>59</v>
      </c>
      <c r="B1310">
        <v>4</v>
      </c>
      <c r="C1310" t="s">
        <v>35</v>
      </c>
      <c r="D1310">
        <v>3</v>
      </c>
      <c r="E1310">
        <v>0.501</v>
      </c>
      <c r="F1310">
        <v>48.5</v>
      </c>
      <c r="G1310">
        <v>0.32500000000000001</v>
      </c>
      <c r="L1310">
        <v>5.5E-2</v>
      </c>
      <c r="O1310">
        <v>5</v>
      </c>
    </row>
    <row r="1311" spans="1:15" x14ac:dyDescent="0.2">
      <c r="A1311" t="s">
        <v>59</v>
      </c>
      <c r="B1311">
        <v>4</v>
      </c>
      <c r="C1311" t="s">
        <v>35</v>
      </c>
      <c r="D1311">
        <v>4</v>
      </c>
      <c r="E1311">
        <v>0.3846</v>
      </c>
      <c r="F1311">
        <v>68.2</v>
      </c>
      <c r="G1311">
        <v>0.187</v>
      </c>
      <c r="L1311">
        <v>5.5E-2</v>
      </c>
      <c r="O1311">
        <v>5</v>
      </c>
    </row>
    <row r="1312" spans="1:15" x14ac:dyDescent="0.2">
      <c r="A1312" t="s">
        <v>59</v>
      </c>
      <c r="B1312">
        <v>4</v>
      </c>
      <c r="C1312" t="s">
        <v>35</v>
      </c>
      <c r="D1312">
        <v>5</v>
      </c>
      <c r="E1312">
        <v>0.44919999999999999</v>
      </c>
      <c r="F1312">
        <v>54.7</v>
      </c>
      <c r="G1312">
        <v>0.34799999999999998</v>
      </c>
      <c r="L1312">
        <v>5.5E-2</v>
      </c>
      <c r="O1312">
        <v>5</v>
      </c>
    </row>
    <row r="1313" spans="1:15" x14ac:dyDescent="0.2">
      <c r="A1313" t="s">
        <v>59</v>
      </c>
      <c r="B1313">
        <v>4</v>
      </c>
      <c r="C1313" t="s">
        <v>35</v>
      </c>
      <c r="D1313">
        <v>6</v>
      </c>
      <c r="E1313">
        <v>0.4279</v>
      </c>
      <c r="F1313">
        <v>79.2</v>
      </c>
      <c r="G1313">
        <v>0.193</v>
      </c>
      <c r="L1313">
        <v>5.5E-2</v>
      </c>
      <c r="O1313">
        <v>5</v>
      </c>
    </row>
    <row r="1314" spans="1:15" x14ac:dyDescent="0.2">
      <c r="A1314" t="s">
        <v>59</v>
      </c>
      <c r="B1314">
        <v>4</v>
      </c>
      <c r="C1314" t="s">
        <v>35</v>
      </c>
      <c r="D1314">
        <v>7</v>
      </c>
      <c r="E1314">
        <v>0.40310000000000001</v>
      </c>
      <c r="F1314">
        <v>50.7</v>
      </c>
      <c r="G1314">
        <v>0.27300000000000002</v>
      </c>
      <c r="L1314">
        <v>5.5E-2</v>
      </c>
      <c r="O1314">
        <v>5</v>
      </c>
    </row>
    <row r="1315" spans="1:15" x14ac:dyDescent="0.2">
      <c r="A1315" t="s">
        <v>59</v>
      </c>
      <c r="B1315">
        <v>4</v>
      </c>
      <c r="C1315" t="s">
        <v>35</v>
      </c>
      <c r="D1315">
        <v>8</v>
      </c>
      <c r="E1315">
        <v>0.48110000000000003</v>
      </c>
      <c r="F1315">
        <v>72.3</v>
      </c>
      <c r="G1315">
        <v>0.29499999999999998</v>
      </c>
      <c r="L1315">
        <v>5.5E-2</v>
      </c>
      <c r="O1315">
        <v>5</v>
      </c>
    </row>
    <row r="1316" spans="1:15" x14ac:dyDescent="0.2">
      <c r="A1316" t="s">
        <v>59</v>
      </c>
      <c r="B1316">
        <v>4</v>
      </c>
      <c r="C1316" t="s">
        <v>35</v>
      </c>
      <c r="D1316">
        <v>9</v>
      </c>
      <c r="E1316">
        <v>0.379</v>
      </c>
      <c r="F1316">
        <v>55.6</v>
      </c>
      <c r="G1316">
        <v>0.20399999999999999</v>
      </c>
      <c r="L1316">
        <v>5.5E-2</v>
      </c>
      <c r="O1316">
        <v>5</v>
      </c>
    </row>
    <row r="1317" spans="1:15" x14ac:dyDescent="0.2">
      <c r="A1317" t="s">
        <v>59</v>
      </c>
      <c r="B1317">
        <v>4</v>
      </c>
      <c r="C1317" t="s">
        <v>34</v>
      </c>
      <c r="D1317">
        <v>1</v>
      </c>
      <c r="E1317">
        <v>0.41310000000000002</v>
      </c>
      <c r="F1317">
        <v>34</v>
      </c>
      <c r="G1317">
        <v>0.60499999999999998</v>
      </c>
      <c r="L1317">
        <v>5.5E-2</v>
      </c>
      <c r="O1317">
        <v>5</v>
      </c>
    </row>
    <row r="1318" spans="1:15" x14ac:dyDescent="0.2">
      <c r="A1318" t="s">
        <v>59</v>
      </c>
      <c r="B1318">
        <v>4</v>
      </c>
      <c r="C1318" t="s">
        <v>34</v>
      </c>
      <c r="D1318">
        <v>2</v>
      </c>
      <c r="E1318">
        <v>0.3337</v>
      </c>
      <c r="F1318">
        <v>33.5</v>
      </c>
      <c r="G1318">
        <v>0.59499999999999997</v>
      </c>
      <c r="L1318">
        <v>5.5E-2</v>
      </c>
      <c r="O1318">
        <v>5</v>
      </c>
    </row>
    <row r="1319" spans="1:15" x14ac:dyDescent="0.2">
      <c r="A1319" t="s">
        <v>59</v>
      </c>
      <c r="B1319">
        <v>4</v>
      </c>
      <c r="C1319" t="s">
        <v>34</v>
      </c>
      <c r="D1319">
        <v>3</v>
      </c>
      <c r="E1319">
        <v>0.38119999999999998</v>
      </c>
      <c r="F1319">
        <v>38.200000000000003</v>
      </c>
      <c r="G1319">
        <v>0.377</v>
      </c>
      <c r="L1319">
        <v>5.5E-2</v>
      </c>
      <c r="O1319">
        <v>5</v>
      </c>
    </row>
    <row r="1320" spans="1:15" x14ac:dyDescent="0.2">
      <c r="A1320" t="s">
        <v>59</v>
      </c>
      <c r="B1320">
        <v>4</v>
      </c>
      <c r="C1320" t="s">
        <v>34</v>
      </c>
      <c r="D1320">
        <v>4</v>
      </c>
      <c r="E1320">
        <v>0.37040000000000001</v>
      </c>
      <c r="F1320">
        <v>33.799999999999997</v>
      </c>
      <c r="G1320">
        <v>0.69099999999999995</v>
      </c>
      <c r="L1320">
        <v>5.5E-2</v>
      </c>
      <c r="O1320">
        <v>5</v>
      </c>
    </row>
    <row r="1321" spans="1:15" x14ac:dyDescent="0.2">
      <c r="A1321" t="s">
        <v>59</v>
      </c>
      <c r="B1321">
        <v>4</v>
      </c>
      <c r="C1321" t="s">
        <v>34</v>
      </c>
      <c r="D1321">
        <v>5</v>
      </c>
      <c r="E1321">
        <v>0.37519999999999998</v>
      </c>
      <c r="F1321">
        <v>39.9</v>
      </c>
      <c r="G1321">
        <v>0.79400000000000004</v>
      </c>
      <c r="L1321">
        <v>5.5E-2</v>
      </c>
      <c r="O1321">
        <v>5</v>
      </c>
    </row>
    <row r="1322" spans="1:15" x14ac:dyDescent="0.2">
      <c r="A1322" t="s">
        <v>59</v>
      </c>
      <c r="B1322">
        <v>4</v>
      </c>
      <c r="C1322" t="s">
        <v>34</v>
      </c>
      <c r="D1322">
        <v>6</v>
      </c>
      <c r="E1322">
        <v>0.39450000000000002</v>
      </c>
      <c r="F1322">
        <v>33.9</v>
      </c>
      <c r="G1322">
        <v>0.88100000000000001</v>
      </c>
      <c r="L1322">
        <v>5.5E-2</v>
      </c>
      <c r="O1322">
        <v>5</v>
      </c>
    </row>
    <row r="1323" spans="1:15" x14ac:dyDescent="0.2">
      <c r="A1323" t="s">
        <v>59</v>
      </c>
      <c r="B1323">
        <v>4</v>
      </c>
      <c r="C1323" t="s">
        <v>34</v>
      </c>
      <c r="D1323">
        <v>7</v>
      </c>
      <c r="E1323">
        <v>0.34089999999999998</v>
      </c>
      <c r="F1323">
        <v>34.299999999999997</v>
      </c>
      <c r="G1323">
        <v>0.32600000000000001</v>
      </c>
      <c r="L1323">
        <v>5.5E-2</v>
      </c>
      <c r="O1323">
        <v>5</v>
      </c>
    </row>
    <row r="1324" spans="1:15" x14ac:dyDescent="0.2">
      <c r="A1324" t="s">
        <v>59</v>
      </c>
      <c r="B1324">
        <v>4</v>
      </c>
      <c r="C1324" t="s">
        <v>34</v>
      </c>
      <c r="D1324">
        <v>8</v>
      </c>
      <c r="E1324">
        <v>0.37119999999999997</v>
      </c>
      <c r="F1324">
        <v>33.6</v>
      </c>
      <c r="G1324">
        <v>0.46899999999999997</v>
      </c>
      <c r="L1324">
        <v>5.5E-2</v>
      </c>
      <c r="O1324">
        <v>5</v>
      </c>
    </row>
    <row r="1325" spans="1:15" x14ac:dyDescent="0.2">
      <c r="A1325" t="s">
        <v>59</v>
      </c>
      <c r="B1325">
        <v>4</v>
      </c>
      <c r="C1325" t="s">
        <v>34</v>
      </c>
      <c r="D1325">
        <v>9</v>
      </c>
      <c r="E1325">
        <v>0.41560000000000002</v>
      </c>
      <c r="F1325">
        <v>39.9</v>
      </c>
      <c r="G1325">
        <v>0.437</v>
      </c>
      <c r="L1325">
        <v>5.5E-2</v>
      </c>
      <c r="O1325">
        <v>5</v>
      </c>
    </row>
    <row r="1326" spans="1:15" x14ac:dyDescent="0.2">
      <c r="A1326" t="s">
        <v>59</v>
      </c>
      <c r="B1326">
        <v>4</v>
      </c>
      <c r="C1326" t="s">
        <v>31</v>
      </c>
      <c r="D1326">
        <v>1</v>
      </c>
      <c r="E1326">
        <v>0.46050000000000002</v>
      </c>
      <c r="F1326">
        <v>16.7</v>
      </c>
      <c r="G1326">
        <v>1.903</v>
      </c>
      <c r="L1326">
        <v>5.5E-2</v>
      </c>
      <c r="O1326">
        <v>20</v>
      </c>
    </row>
    <row r="1327" spans="1:15" x14ac:dyDescent="0.2">
      <c r="A1327" t="s">
        <v>59</v>
      </c>
      <c r="B1327">
        <v>4</v>
      </c>
      <c r="C1327" t="s">
        <v>31</v>
      </c>
      <c r="D1327">
        <v>2</v>
      </c>
      <c r="E1327">
        <v>0.28749999999999998</v>
      </c>
      <c r="F1327">
        <v>7.5</v>
      </c>
      <c r="G1327">
        <v>1.2569999999999999</v>
      </c>
      <c r="L1327">
        <v>5.5E-2</v>
      </c>
      <c r="O1327">
        <v>20</v>
      </c>
    </row>
    <row r="1328" spans="1:15" x14ac:dyDescent="0.2">
      <c r="A1328" t="s">
        <v>59</v>
      </c>
      <c r="B1328">
        <v>4</v>
      </c>
      <c r="C1328" t="s">
        <v>31</v>
      </c>
      <c r="D1328">
        <v>3</v>
      </c>
      <c r="E1328">
        <v>0.34</v>
      </c>
      <c r="F1328">
        <v>10.3</v>
      </c>
      <c r="G1328">
        <v>1.1259999999999999</v>
      </c>
      <c r="L1328">
        <v>5.5E-2</v>
      </c>
      <c r="O1328">
        <v>20</v>
      </c>
    </row>
    <row r="1329" spans="1:15" x14ac:dyDescent="0.2">
      <c r="A1329" t="s">
        <v>59</v>
      </c>
      <c r="B1329">
        <v>4</v>
      </c>
      <c r="C1329" t="s">
        <v>31</v>
      </c>
      <c r="D1329">
        <v>4</v>
      </c>
      <c r="E1329">
        <v>0.35809999999999997</v>
      </c>
      <c r="F1329">
        <v>9.1999999999999993</v>
      </c>
      <c r="G1329">
        <v>0.64800000000000002</v>
      </c>
      <c r="L1329">
        <v>5.5E-2</v>
      </c>
      <c r="O1329">
        <v>20</v>
      </c>
    </row>
    <row r="1330" spans="1:15" x14ac:dyDescent="0.2">
      <c r="A1330" t="s">
        <v>59</v>
      </c>
      <c r="B1330">
        <v>4</v>
      </c>
      <c r="C1330" t="s">
        <v>31</v>
      </c>
      <c r="D1330">
        <v>5</v>
      </c>
      <c r="E1330">
        <v>0.35320000000000001</v>
      </c>
      <c r="F1330">
        <v>12.1</v>
      </c>
      <c r="G1330">
        <v>1.379</v>
      </c>
      <c r="L1330">
        <v>5.5E-2</v>
      </c>
      <c r="O1330">
        <v>20</v>
      </c>
    </row>
    <row r="1331" spans="1:15" x14ac:dyDescent="0.2">
      <c r="A1331" t="s">
        <v>59</v>
      </c>
      <c r="B1331">
        <v>4</v>
      </c>
      <c r="C1331" t="s">
        <v>31</v>
      </c>
      <c r="D1331">
        <v>6</v>
      </c>
      <c r="E1331">
        <v>0.29339999999999999</v>
      </c>
      <c r="F1331">
        <v>19.3</v>
      </c>
      <c r="G1331">
        <v>2.012</v>
      </c>
      <c r="L1331">
        <v>5.5E-2</v>
      </c>
      <c r="O1331">
        <v>20</v>
      </c>
    </row>
    <row r="1332" spans="1:15" x14ac:dyDescent="0.2">
      <c r="A1332" t="s">
        <v>59</v>
      </c>
      <c r="B1332">
        <v>4</v>
      </c>
      <c r="C1332" t="s">
        <v>31</v>
      </c>
      <c r="D1332">
        <v>7</v>
      </c>
      <c r="E1332">
        <v>0.3246</v>
      </c>
      <c r="F1332">
        <v>10.8</v>
      </c>
      <c r="G1332">
        <v>1.2669999999999999</v>
      </c>
      <c r="L1332">
        <v>5.5E-2</v>
      </c>
      <c r="O1332">
        <v>20</v>
      </c>
    </row>
    <row r="1333" spans="1:15" x14ac:dyDescent="0.2">
      <c r="A1333" t="s">
        <v>59</v>
      </c>
      <c r="B1333">
        <v>4</v>
      </c>
      <c r="C1333" t="s">
        <v>31</v>
      </c>
      <c r="D1333">
        <v>8</v>
      </c>
      <c r="E1333">
        <v>0.42109999999999997</v>
      </c>
      <c r="F1333">
        <v>12.2</v>
      </c>
      <c r="G1333">
        <v>1.9259999999999999</v>
      </c>
      <c r="L1333">
        <v>5.5E-2</v>
      </c>
      <c r="O1333">
        <v>20</v>
      </c>
    </row>
    <row r="1334" spans="1:15" x14ac:dyDescent="0.2">
      <c r="A1334" t="s">
        <v>59</v>
      </c>
      <c r="B1334">
        <v>4</v>
      </c>
      <c r="C1334" t="s">
        <v>31</v>
      </c>
      <c r="D1334">
        <v>9</v>
      </c>
      <c r="E1334">
        <v>0.27360000000000001</v>
      </c>
      <c r="F1334">
        <v>13.8</v>
      </c>
      <c r="G1334">
        <v>0.93899999999999995</v>
      </c>
      <c r="L1334">
        <v>5.5E-2</v>
      </c>
      <c r="O1334">
        <v>20</v>
      </c>
    </row>
    <row r="1335" spans="1:15" x14ac:dyDescent="0.2">
      <c r="A1335" t="s">
        <v>59</v>
      </c>
      <c r="B1335">
        <v>4</v>
      </c>
      <c r="C1335" t="s">
        <v>30</v>
      </c>
      <c r="D1335">
        <v>1</v>
      </c>
      <c r="E1335">
        <v>0.42180000000000001</v>
      </c>
      <c r="F1335">
        <v>26.1</v>
      </c>
      <c r="G1335">
        <v>5.8000000000000003E-2</v>
      </c>
      <c r="L1335">
        <v>5.5E-2</v>
      </c>
      <c r="O1335">
        <v>60</v>
      </c>
    </row>
    <row r="1336" spans="1:15" x14ac:dyDescent="0.2">
      <c r="A1336" t="s">
        <v>59</v>
      </c>
      <c r="B1336">
        <v>4</v>
      </c>
      <c r="C1336" t="s">
        <v>30</v>
      </c>
      <c r="D1336">
        <v>2</v>
      </c>
      <c r="E1336">
        <v>0.42280000000000001</v>
      </c>
      <c r="F1336">
        <v>23.8</v>
      </c>
      <c r="G1336">
        <v>0.125</v>
      </c>
      <c r="L1336">
        <v>5.5E-2</v>
      </c>
      <c r="O1336">
        <v>60</v>
      </c>
    </row>
    <row r="1337" spans="1:15" x14ac:dyDescent="0.2">
      <c r="A1337" t="s">
        <v>59</v>
      </c>
      <c r="B1337">
        <v>4</v>
      </c>
      <c r="C1337" t="s">
        <v>30</v>
      </c>
      <c r="D1337">
        <v>3</v>
      </c>
      <c r="E1337">
        <v>0.45910000000000001</v>
      </c>
      <c r="F1337">
        <v>22.7</v>
      </c>
      <c r="G1337">
        <v>9.7000000000000003E-2</v>
      </c>
      <c r="L1337">
        <v>5.5E-2</v>
      </c>
      <c r="O1337">
        <v>60</v>
      </c>
    </row>
    <row r="1338" spans="1:15" x14ac:dyDescent="0.2">
      <c r="A1338" t="s">
        <v>59</v>
      </c>
      <c r="B1338">
        <v>4</v>
      </c>
      <c r="C1338" t="s">
        <v>30</v>
      </c>
      <c r="D1338">
        <v>4</v>
      </c>
      <c r="E1338">
        <v>0.48680000000000001</v>
      </c>
      <c r="F1338">
        <v>42.8</v>
      </c>
      <c r="G1338">
        <v>0.127</v>
      </c>
      <c r="L1338">
        <v>5.5E-2</v>
      </c>
      <c r="O1338">
        <v>60</v>
      </c>
    </row>
    <row r="1339" spans="1:15" x14ac:dyDescent="0.2">
      <c r="A1339" t="s">
        <v>59</v>
      </c>
      <c r="B1339">
        <v>4</v>
      </c>
      <c r="C1339" t="s">
        <v>30</v>
      </c>
      <c r="D1339">
        <v>5</v>
      </c>
      <c r="E1339">
        <v>0.59199999999999997</v>
      </c>
      <c r="F1339">
        <v>18.399999999999999</v>
      </c>
      <c r="G1339">
        <v>0.104</v>
      </c>
      <c r="L1339">
        <v>5.5E-2</v>
      </c>
      <c r="O1339">
        <v>60</v>
      </c>
    </row>
    <row r="1340" spans="1:15" x14ac:dyDescent="0.2">
      <c r="A1340" t="s">
        <v>59</v>
      </c>
      <c r="B1340">
        <v>4</v>
      </c>
      <c r="C1340" t="s">
        <v>30</v>
      </c>
      <c r="D1340">
        <v>6</v>
      </c>
      <c r="E1340">
        <v>0.76459999999999995</v>
      </c>
      <c r="F1340">
        <v>12.4</v>
      </c>
      <c r="G1340">
        <v>0.17499999999999999</v>
      </c>
      <c r="L1340">
        <v>5.5E-2</v>
      </c>
      <c r="O1340">
        <v>60</v>
      </c>
    </row>
    <row r="1341" spans="1:15" x14ac:dyDescent="0.2">
      <c r="A1341" t="s">
        <v>59</v>
      </c>
      <c r="B1341">
        <v>4</v>
      </c>
      <c r="C1341" t="s">
        <v>30</v>
      </c>
      <c r="D1341">
        <v>7</v>
      </c>
      <c r="E1341">
        <v>0.63460000000000005</v>
      </c>
      <c r="F1341">
        <v>19.8</v>
      </c>
      <c r="G1341">
        <v>0.13300000000000001</v>
      </c>
      <c r="L1341">
        <v>5.5E-2</v>
      </c>
      <c r="O1341">
        <v>60</v>
      </c>
    </row>
    <row r="1342" spans="1:15" x14ac:dyDescent="0.2">
      <c r="A1342" t="s">
        <v>59</v>
      </c>
      <c r="B1342">
        <v>4</v>
      </c>
      <c r="C1342" t="s">
        <v>30</v>
      </c>
      <c r="D1342">
        <v>8</v>
      </c>
      <c r="E1342">
        <v>0.60640000000000005</v>
      </c>
      <c r="F1342">
        <v>23.3</v>
      </c>
      <c r="G1342">
        <v>0.122</v>
      </c>
      <c r="L1342">
        <v>5.5E-2</v>
      </c>
      <c r="O1342">
        <v>60</v>
      </c>
    </row>
    <row r="1343" spans="1:15" x14ac:dyDescent="0.2">
      <c r="A1343" t="s">
        <v>59</v>
      </c>
      <c r="B1343">
        <v>4</v>
      </c>
      <c r="C1343" t="s">
        <v>30</v>
      </c>
      <c r="D1343">
        <v>9</v>
      </c>
      <c r="E1343">
        <v>0.88219999999999998</v>
      </c>
      <c r="F1343">
        <v>21.9</v>
      </c>
      <c r="G1343">
        <v>0.186</v>
      </c>
      <c r="L1343">
        <v>5.5E-2</v>
      </c>
      <c r="O1343">
        <v>60</v>
      </c>
    </row>
    <row r="1344" spans="1:15" x14ac:dyDescent="0.2">
      <c r="A1344" t="s">
        <v>60</v>
      </c>
      <c r="B1344">
        <v>1</v>
      </c>
      <c r="C1344" t="s">
        <v>13</v>
      </c>
      <c r="D1344">
        <v>1</v>
      </c>
      <c r="E1344">
        <v>6.0909000000000004</v>
      </c>
      <c r="F1344">
        <v>11.8</v>
      </c>
      <c r="G1344">
        <v>0.39700000000000002</v>
      </c>
      <c r="L1344">
        <v>4</v>
      </c>
      <c r="O1344">
        <v>5</v>
      </c>
    </row>
    <row r="1345" spans="1:15" x14ac:dyDescent="0.2">
      <c r="A1345" t="s">
        <v>60</v>
      </c>
      <c r="B1345">
        <v>1</v>
      </c>
      <c r="C1345" t="s">
        <v>13</v>
      </c>
      <c r="D1345">
        <v>2</v>
      </c>
      <c r="E1345">
        <v>8.0437999999999992</v>
      </c>
      <c r="F1345">
        <v>9.9</v>
      </c>
      <c r="G1345">
        <v>0.30199999999999999</v>
      </c>
      <c r="L1345">
        <v>4</v>
      </c>
      <c r="O1345">
        <v>5</v>
      </c>
    </row>
    <row r="1346" spans="1:15" x14ac:dyDescent="0.2">
      <c r="A1346" t="s">
        <v>60</v>
      </c>
      <c r="B1346">
        <v>1</v>
      </c>
      <c r="C1346" t="s">
        <v>13</v>
      </c>
      <c r="D1346">
        <v>3</v>
      </c>
      <c r="E1346">
        <v>8.7506000000000004</v>
      </c>
      <c r="F1346">
        <v>13.1</v>
      </c>
      <c r="G1346">
        <v>0.66400000000000003</v>
      </c>
      <c r="L1346">
        <v>4</v>
      </c>
      <c r="O1346">
        <v>5</v>
      </c>
    </row>
    <row r="1347" spans="1:15" x14ac:dyDescent="0.2">
      <c r="A1347" t="s">
        <v>60</v>
      </c>
      <c r="B1347">
        <v>1</v>
      </c>
      <c r="C1347" t="s">
        <v>13</v>
      </c>
      <c r="D1347">
        <v>4</v>
      </c>
      <c r="E1347">
        <v>6.2983000000000002</v>
      </c>
      <c r="F1347">
        <v>11.2</v>
      </c>
      <c r="G1347">
        <v>0.29599999999999999</v>
      </c>
      <c r="L1347">
        <v>4</v>
      </c>
      <c r="O1347">
        <v>5</v>
      </c>
    </row>
    <row r="1348" spans="1:15" x14ac:dyDescent="0.2">
      <c r="A1348" t="s">
        <v>60</v>
      </c>
      <c r="B1348">
        <v>1</v>
      </c>
      <c r="C1348" t="s">
        <v>13</v>
      </c>
      <c r="D1348">
        <v>5</v>
      </c>
      <c r="E1348">
        <v>5.8113000000000001</v>
      </c>
      <c r="F1348">
        <v>12.8</v>
      </c>
      <c r="G1348">
        <v>0.25</v>
      </c>
      <c r="L1348">
        <v>4</v>
      </c>
      <c r="O1348">
        <v>5</v>
      </c>
    </row>
    <row r="1349" spans="1:15" x14ac:dyDescent="0.2">
      <c r="A1349" t="s">
        <v>60</v>
      </c>
      <c r="B1349">
        <v>1</v>
      </c>
      <c r="C1349" t="s">
        <v>13</v>
      </c>
      <c r="D1349">
        <v>6</v>
      </c>
      <c r="E1349">
        <v>4.4500999999999999</v>
      </c>
      <c r="F1349">
        <v>10</v>
      </c>
      <c r="G1349">
        <v>0.27300000000000002</v>
      </c>
      <c r="L1349">
        <v>4</v>
      </c>
      <c r="O1349">
        <v>5</v>
      </c>
    </row>
    <row r="1350" spans="1:15" x14ac:dyDescent="0.2">
      <c r="A1350" t="s">
        <v>60</v>
      </c>
      <c r="B1350">
        <v>1</v>
      </c>
      <c r="C1350" t="s">
        <v>13</v>
      </c>
      <c r="D1350">
        <v>7</v>
      </c>
      <c r="E1350">
        <v>6.4733000000000001</v>
      </c>
      <c r="F1350">
        <v>11.2</v>
      </c>
      <c r="G1350">
        <v>0.38700000000000001</v>
      </c>
      <c r="L1350">
        <v>4</v>
      </c>
      <c r="O1350">
        <v>5</v>
      </c>
    </row>
    <row r="1351" spans="1:15" x14ac:dyDescent="0.2">
      <c r="A1351" t="s">
        <v>60</v>
      </c>
      <c r="B1351">
        <v>1</v>
      </c>
      <c r="C1351" t="s">
        <v>13</v>
      </c>
      <c r="D1351">
        <v>8</v>
      </c>
      <c r="E1351">
        <v>6.9649000000000001</v>
      </c>
      <c r="F1351">
        <v>10.5</v>
      </c>
      <c r="G1351">
        <v>0.254</v>
      </c>
      <c r="L1351">
        <v>4</v>
      </c>
      <c r="O1351">
        <v>5</v>
      </c>
    </row>
    <row r="1352" spans="1:15" x14ac:dyDescent="0.2">
      <c r="A1352" t="s">
        <v>60</v>
      </c>
      <c r="B1352">
        <v>1</v>
      </c>
      <c r="C1352" t="s">
        <v>13</v>
      </c>
      <c r="D1352">
        <v>9</v>
      </c>
      <c r="E1352">
        <v>6.673</v>
      </c>
      <c r="F1352">
        <v>12.4</v>
      </c>
      <c r="G1352">
        <v>0.105</v>
      </c>
      <c r="L1352">
        <v>4</v>
      </c>
      <c r="O1352">
        <v>5</v>
      </c>
    </row>
    <row r="1353" spans="1:15" x14ac:dyDescent="0.2">
      <c r="A1353" t="s">
        <v>60</v>
      </c>
      <c r="B1353">
        <v>1</v>
      </c>
      <c r="C1353" t="s">
        <v>19</v>
      </c>
      <c r="D1353">
        <v>1</v>
      </c>
      <c r="E1353">
        <v>0.2296</v>
      </c>
      <c r="F1353">
        <v>22.8</v>
      </c>
      <c r="G1353">
        <v>0.01</v>
      </c>
      <c r="L1353">
        <v>4</v>
      </c>
      <c r="O1353">
        <v>5</v>
      </c>
    </row>
    <row r="1354" spans="1:15" x14ac:dyDescent="0.2">
      <c r="A1354" t="s">
        <v>60</v>
      </c>
      <c r="B1354">
        <v>1</v>
      </c>
      <c r="C1354" t="s">
        <v>19</v>
      </c>
      <c r="D1354">
        <v>2</v>
      </c>
      <c r="E1354">
        <v>0.24879999999999999</v>
      </c>
      <c r="F1354">
        <v>22</v>
      </c>
      <c r="G1354">
        <v>2.1000000000000001E-2</v>
      </c>
      <c r="L1354">
        <v>4</v>
      </c>
      <c r="O1354">
        <v>5</v>
      </c>
    </row>
    <row r="1355" spans="1:15" x14ac:dyDescent="0.2">
      <c r="A1355" t="s">
        <v>60</v>
      </c>
      <c r="B1355">
        <v>1</v>
      </c>
      <c r="C1355" t="s">
        <v>19</v>
      </c>
      <c r="D1355">
        <v>3</v>
      </c>
      <c r="E1355">
        <v>0.2049</v>
      </c>
      <c r="F1355">
        <v>24.5</v>
      </c>
      <c r="G1355">
        <v>0.01</v>
      </c>
      <c r="L1355">
        <v>4</v>
      </c>
      <c r="O1355">
        <v>5</v>
      </c>
    </row>
    <row r="1356" spans="1:15" x14ac:dyDescent="0.2">
      <c r="A1356" t="s">
        <v>60</v>
      </c>
      <c r="B1356">
        <v>1</v>
      </c>
      <c r="C1356" t="s">
        <v>19</v>
      </c>
      <c r="D1356">
        <v>4</v>
      </c>
      <c r="E1356">
        <v>0.21190000000000001</v>
      </c>
      <c r="F1356">
        <v>22.5</v>
      </c>
      <c r="G1356">
        <v>0.01</v>
      </c>
      <c r="L1356">
        <v>4</v>
      </c>
      <c r="O1356">
        <v>5</v>
      </c>
    </row>
    <row r="1357" spans="1:15" x14ac:dyDescent="0.2">
      <c r="A1357" t="s">
        <v>60</v>
      </c>
      <c r="B1357">
        <v>1</v>
      </c>
      <c r="C1357" t="s">
        <v>19</v>
      </c>
      <c r="D1357">
        <v>5</v>
      </c>
      <c r="E1357">
        <v>0.20480000000000001</v>
      </c>
      <c r="F1357">
        <v>25.4</v>
      </c>
      <c r="G1357">
        <v>0.01</v>
      </c>
      <c r="L1357">
        <v>4</v>
      </c>
      <c r="O1357">
        <v>5</v>
      </c>
    </row>
    <row r="1358" spans="1:15" x14ac:dyDescent="0.2">
      <c r="A1358" t="s">
        <v>60</v>
      </c>
      <c r="B1358">
        <v>1</v>
      </c>
      <c r="C1358" t="s">
        <v>19</v>
      </c>
      <c r="D1358">
        <v>6</v>
      </c>
      <c r="E1358">
        <v>0.2029</v>
      </c>
      <c r="F1358">
        <v>21</v>
      </c>
      <c r="G1358">
        <v>8.9999999999999993E-3</v>
      </c>
      <c r="L1358">
        <v>4</v>
      </c>
      <c r="O1358">
        <v>5</v>
      </c>
    </row>
    <row r="1359" spans="1:15" x14ac:dyDescent="0.2">
      <c r="A1359" t="s">
        <v>60</v>
      </c>
      <c r="B1359">
        <v>1</v>
      </c>
      <c r="C1359" t="s">
        <v>19</v>
      </c>
      <c r="D1359">
        <v>7</v>
      </c>
      <c r="E1359">
        <v>0.2001</v>
      </c>
      <c r="F1359">
        <v>23.2</v>
      </c>
      <c r="G1359">
        <v>0.01</v>
      </c>
      <c r="L1359">
        <v>4</v>
      </c>
      <c r="O1359">
        <v>5</v>
      </c>
    </row>
    <row r="1360" spans="1:15" x14ac:dyDescent="0.2">
      <c r="A1360" t="s">
        <v>60</v>
      </c>
      <c r="B1360">
        <v>1</v>
      </c>
      <c r="C1360" t="s">
        <v>19</v>
      </c>
      <c r="D1360">
        <v>8</v>
      </c>
      <c r="E1360">
        <v>0.2286</v>
      </c>
      <c r="F1360">
        <v>21.6</v>
      </c>
      <c r="G1360">
        <v>0.01</v>
      </c>
      <c r="L1360">
        <v>4</v>
      </c>
      <c r="O1360">
        <v>5</v>
      </c>
    </row>
    <row r="1361" spans="1:15" x14ac:dyDescent="0.2">
      <c r="A1361" t="s">
        <v>60</v>
      </c>
      <c r="B1361">
        <v>1</v>
      </c>
      <c r="C1361" t="s">
        <v>19</v>
      </c>
      <c r="D1361">
        <v>9</v>
      </c>
      <c r="E1361">
        <v>0.1961</v>
      </c>
      <c r="F1361">
        <v>25.3</v>
      </c>
      <c r="G1361">
        <v>0.01</v>
      </c>
      <c r="L1361">
        <v>4</v>
      </c>
      <c r="O1361">
        <v>5</v>
      </c>
    </row>
    <row r="1362" spans="1:15" x14ac:dyDescent="0.2">
      <c r="A1362" t="s">
        <v>60</v>
      </c>
      <c r="B1362">
        <v>2</v>
      </c>
      <c r="C1362" t="s">
        <v>17</v>
      </c>
      <c r="D1362">
        <v>1</v>
      </c>
      <c r="E1362">
        <v>0.67930000000000001</v>
      </c>
      <c r="F1362">
        <v>44.9</v>
      </c>
      <c r="G1362">
        <v>0.218</v>
      </c>
      <c r="L1362">
        <v>3.81</v>
      </c>
      <c r="O1362">
        <v>5</v>
      </c>
    </row>
    <row r="1363" spans="1:15" x14ac:dyDescent="0.2">
      <c r="A1363" t="s">
        <v>60</v>
      </c>
      <c r="B1363">
        <v>2</v>
      </c>
      <c r="C1363" t="s">
        <v>17</v>
      </c>
      <c r="D1363">
        <v>2</v>
      </c>
      <c r="E1363">
        <v>0.85129999999999995</v>
      </c>
      <c r="F1363">
        <v>46.1</v>
      </c>
      <c r="G1363">
        <v>0.27400000000000002</v>
      </c>
      <c r="L1363">
        <v>3.81</v>
      </c>
      <c r="O1363">
        <v>5</v>
      </c>
    </row>
    <row r="1364" spans="1:15" x14ac:dyDescent="0.2">
      <c r="A1364" t="s">
        <v>60</v>
      </c>
      <c r="B1364">
        <v>2</v>
      </c>
      <c r="C1364" t="s">
        <v>17</v>
      </c>
      <c r="D1364">
        <v>3</v>
      </c>
      <c r="E1364">
        <v>0.88600000000000001</v>
      </c>
      <c r="F1364">
        <v>48.8</v>
      </c>
      <c r="G1364">
        <v>0.193</v>
      </c>
      <c r="L1364">
        <v>3.81</v>
      </c>
      <c r="O1364">
        <v>5</v>
      </c>
    </row>
    <row r="1365" spans="1:15" x14ac:dyDescent="0.2">
      <c r="A1365" t="s">
        <v>60</v>
      </c>
      <c r="B1365">
        <v>2</v>
      </c>
      <c r="C1365" t="s">
        <v>17</v>
      </c>
      <c r="D1365">
        <v>4</v>
      </c>
      <c r="E1365">
        <v>0.7964</v>
      </c>
      <c r="F1365">
        <v>45.5</v>
      </c>
      <c r="G1365">
        <v>0.121</v>
      </c>
      <c r="L1365">
        <v>3.81</v>
      </c>
      <c r="O1365">
        <v>5</v>
      </c>
    </row>
    <row r="1366" spans="1:15" x14ac:dyDescent="0.2">
      <c r="A1366" t="s">
        <v>60</v>
      </c>
      <c r="B1366">
        <v>2</v>
      </c>
      <c r="C1366" t="s">
        <v>17</v>
      </c>
      <c r="D1366">
        <v>5</v>
      </c>
      <c r="E1366">
        <v>0.99150000000000005</v>
      </c>
      <c r="F1366">
        <v>51.7</v>
      </c>
      <c r="G1366">
        <v>0.29199999999999998</v>
      </c>
      <c r="L1366">
        <v>3.81</v>
      </c>
      <c r="O1366">
        <v>5</v>
      </c>
    </row>
    <row r="1367" spans="1:15" x14ac:dyDescent="0.2">
      <c r="A1367" t="s">
        <v>60</v>
      </c>
      <c r="B1367">
        <v>2</v>
      </c>
      <c r="C1367" t="s">
        <v>17</v>
      </c>
      <c r="D1367">
        <v>6</v>
      </c>
      <c r="E1367">
        <v>1.0536000000000001</v>
      </c>
      <c r="F1367">
        <v>39.799999999999997</v>
      </c>
      <c r="G1367">
        <v>0.216</v>
      </c>
      <c r="L1367">
        <v>3.81</v>
      </c>
      <c r="O1367">
        <v>5</v>
      </c>
    </row>
    <row r="1368" spans="1:15" x14ac:dyDescent="0.2">
      <c r="A1368" t="s">
        <v>60</v>
      </c>
      <c r="B1368">
        <v>2</v>
      </c>
      <c r="C1368" t="s">
        <v>17</v>
      </c>
      <c r="D1368">
        <v>7</v>
      </c>
      <c r="E1368">
        <v>0.64119999999999999</v>
      </c>
      <c r="F1368">
        <v>44.6</v>
      </c>
      <c r="G1368">
        <v>0.186</v>
      </c>
      <c r="L1368">
        <v>3.81</v>
      </c>
      <c r="O1368">
        <v>5</v>
      </c>
    </row>
    <row r="1369" spans="1:15" x14ac:dyDescent="0.2">
      <c r="A1369" t="s">
        <v>60</v>
      </c>
      <c r="B1369">
        <v>2</v>
      </c>
      <c r="C1369" t="s">
        <v>17</v>
      </c>
      <c r="D1369">
        <v>8</v>
      </c>
      <c r="E1369">
        <v>0.61250000000000004</v>
      </c>
      <c r="F1369">
        <v>43.6</v>
      </c>
      <c r="G1369">
        <v>0.29499999999999998</v>
      </c>
      <c r="L1369">
        <v>3.81</v>
      </c>
      <c r="O1369">
        <v>5</v>
      </c>
    </row>
    <row r="1370" spans="1:15" x14ac:dyDescent="0.2">
      <c r="A1370" t="s">
        <v>60</v>
      </c>
      <c r="B1370">
        <v>2</v>
      </c>
      <c r="C1370" t="s">
        <v>17</v>
      </c>
      <c r="D1370">
        <v>9</v>
      </c>
      <c r="E1370">
        <v>0.90359999999999996</v>
      </c>
      <c r="F1370">
        <v>45.5</v>
      </c>
      <c r="G1370">
        <v>0.24199999999999999</v>
      </c>
      <c r="L1370">
        <v>3.81</v>
      </c>
      <c r="O1370">
        <v>5</v>
      </c>
    </row>
    <row r="1371" spans="1:15" x14ac:dyDescent="0.2">
      <c r="A1371" t="s">
        <v>60</v>
      </c>
      <c r="B1371">
        <v>2</v>
      </c>
      <c r="C1371" t="s">
        <v>13</v>
      </c>
      <c r="D1371">
        <v>1</v>
      </c>
      <c r="E1371">
        <v>2.6189</v>
      </c>
      <c r="F1371">
        <v>13.1</v>
      </c>
      <c r="G1371">
        <v>0.28199999999999997</v>
      </c>
      <c r="L1371">
        <v>3.81</v>
      </c>
      <c r="O1371">
        <v>50</v>
      </c>
    </row>
    <row r="1372" spans="1:15" x14ac:dyDescent="0.2">
      <c r="A1372" t="s">
        <v>60</v>
      </c>
      <c r="B1372">
        <v>2</v>
      </c>
      <c r="C1372" t="s">
        <v>13</v>
      </c>
      <c r="D1372">
        <v>2</v>
      </c>
      <c r="E1372">
        <v>3.1084000000000001</v>
      </c>
      <c r="F1372">
        <v>13.9</v>
      </c>
      <c r="G1372">
        <v>0.36299999999999999</v>
      </c>
      <c r="L1372">
        <v>3.81</v>
      </c>
      <c r="O1372">
        <v>50</v>
      </c>
    </row>
    <row r="1373" spans="1:15" x14ac:dyDescent="0.2">
      <c r="A1373" t="s">
        <v>60</v>
      </c>
      <c r="B1373">
        <v>2</v>
      </c>
      <c r="C1373" t="s">
        <v>13</v>
      </c>
      <c r="D1373">
        <v>3</v>
      </c>
      <c r="E1373">
        <v>2.7121</v>
      </c>
      <c r="F1373">
        <v>15.2</v>
      </c>
      <c r="G1373">
        <v>0.39900000000000002</v>
      </c>
      <c r="L1373">
        <v>3.81</v>
      </c>
      <c r="O1373">
        <v>50</v>
      </c>
    </row>
    <row r="1374" spans="1:15" x14ac:dyDescent="0.2">
      <c r="A1374" t="s">
        <v>60</v>
      </c>
      <c r="B1374">
        <v>2</v>
      </c>
      <c r="C1374" t="s">
        <v>13</v>
      </c>
      <c r="D1374">
        <v>4</v>
      </c>
      <c r="E1374">
        <v>3.0106000000000002</v>
      </c>
      <c r="F1374">
        <v>13</v>
      </c>
      <c r="G1374">
        <v>0.26900000000000002</v>
      </c>
      <c r="L1374">
        <v>3.81</v>
      </c>
      <c r="O1374">
        <v>50</v>
      </c>
    </row>
    <row r="1375" spans="1:15" x14ac:dyDescent="0.2">
      <c r="A1375" t="s">
        <v>60</v>
      </c>
      <c r="B1375">
        <v>2</v>
      </c>
      <c r="C1375" t="s">
        <v>13</v>
      </c>
      <c r="D1375">
        <v>5</v>
      </c>
      <c r="E1375">
        <v>2.3780000000000001</v>
      </c>
      <c r="F1375">
        <v>9.8000000000000007</v>
      </c>
      <c r="G1375">
        <v>0.39</v>
      </c>
      <c r="L1375">
        <v>3.81</v>
      </c>
      <c r="O1375">
        <v>50</v>
      </c>
    </row>
    <row r="1376" spans="1:15" x14ac:dyDescent="0.2">
      <c r="A1376" t="s">
        <v>60</v>
      </c>
      <c r="B1376">
        <v>2</v>
      </c>
      <c r="C1376" t="s">
        <v>13</v>
      </c>
      <c r="D1376">
        <v>6</v>
      </c>
      <c r="E1376">
        <v>1.9999</v>
      </c>
      <c r="F1376">
        <v>18.399999999999999</v>
      </c>
      <c r="G1376">
        <v>0.28100000000000003</v>
      </c>
      <c r="L1376">
        <v>3.81</v>
      </c>
      <c r="O1376">
        <v>50</v>
      </c>
    </row>
    <row r="1377" spans="1:15" x14ac:dyDescent="0.2">
      <c r="A1377" t="s">
        <v>60</v>
      </c>
      <c r="B1377">
        <v>2</v>
      </c>
      <c r="C1377" t="s">
        <v>13</v>
      </c>
      <c r="D1377">
        <v>7</v>
      </c>
      <c r="E1377">
        <v>2.7444999999999999</v>
      </c>
      <c r="F1377">
        <v>14.9</v>
      </c>
      <c r="G1377">
        <v>0.39600000000000002</v>
      </c>
      <c r="L1377">
        <v>3.81</v>
      </c>
      <c r="O1377">
        <v>50</v>
      </c>
    </row>
    <row r="1378" spans="1:15" x14ac:dyDescent="0.2">
      <c r="A1378" t="s">
        <v>60</v>
      </c>
      <c r="B1378">
        <v>2</v>
      </c>
      <c r="C1378" t="s">
        <v>13</v>
      </c>
      <c r="D1378">
        <v>8</v>
      </c>
      <c r="E1378">
        <v>3.0301</v>
      </c>
      <c r="F1378">
        <v>14.3</v>
      </c>
      <c r="G1378">
        <v>0.312</v>
      </c>
      <c r="L1378">
        <v>3.81</v>
      </c>
      <c r="O1378">
        <v>50</v>
      </c>
    </row>
    <row r="1379" spans="1:15" x14ac:dyDescent="0.2">
      <c r="A1379" t="s">
        <v>60</v>
      </c>
      <c r="B1379">
        <v>2</v>
      </c>
      <c r="C1379" t="s">
        <v>13</v>
      </c>
      <c r="D1379">
        <v>9</v>
      </c>
      <c r="E1379">
        <v>2.9371</v>
      </c>
      <c r="F1379">
        <v>14.7</v>
      </c>
      <c r="G1379">
        <v>0.21099999999999999</v>
      </c>
      <c r="L1379">
        <v>3.81</v>
      </c>
      <c r="O1379">
        <v>50</v>
      </c>
    </row>
    <row r="1380" spans="1:15" x14ac:dyDescent="0.2">
      <c r="A1380" t="s">
        <v>60</v>
      </c>
      <c r="B1380">
        <v>3</v>
      </c>
      <c r="C1380" t="s">
        <v>13</v>
      </c>
      <c r="D1380">
        <v>1</v>
      </c>
      <c r="E1380">
        <v>2.8765000000000001</v>
      </c>
      <c r="F1380">
        <v>10.7</v>
      </c>
      <c r="G1380">
        <v>0.127</v>
      </c>
      <c r="L1380">
        <v>2.25</v>
      </c>
      <c r="O1380">
        <v>5</v>
      </c>
    </row>
    <row r="1381" spans="1:15" x14ac:dyDescent="0.2">
      <c r="A1381" t="s">
        <v>60</v>
      </c>
      <c r="B1381">
        <v>3</v>
      </c>
      <c r="C1381" t="s">
        <v>13</v>
      </c>
      <c r="D1381">
        <v>2</v>
      </c>
      <c r="E1381">
        <v>2.7597999999999998</v>
      </c>
      <c r="F1381">
        <v>4.9000000000000004</v>
      </c>
      <c r="G1381">
        <v>0.19900000000000001</v>
      </c>
      <c r="L1381">
        <v>2.25</v>
      </c>
      <c r="O1381">
        <v>5</v>
      </c>
    </row>
    <row r="1382" spans="1:15" x14ac:dyDescent="0.2">
      <c r="A1382" t="s">
        <v>60</v>
      </c>
      <c r="B1382">
        <v>3</v>
      </c>
      <c r="C1382" t="s">
        <v>13</v>
      </c>
      <c r="D1382">
        <v>3</v>
      </c>
      <c r="E1382">
        <v>2.3267000000000002</v>
      </c>
      <c r="F1382">
        <v>9.8000000000000007</v>
      </c>
      <c r="G1382">
        <v>0.14899999999999999</v>
      </c>
      <c r="L1382">
        <v>2.25</v>
      </c>
      <c r="O1382">
        <v>5</v>
      </c>
    </row>
    <row r="1383" spans="1:15" x14ac:dyDescent="0.2">
      <c r="A1383" t="s">
        <v>60</v>
      </c>
      <c r="B1383">
        <v>3</v>
      </c>
      <c r="C1383" t="s">
        <v>13</v>
      </c>
      <c r="D1383">
        <v>4</v>
      </c>
      <c r="E1383">
        <v>2.6981999999999999</v>
      </c>
      <c r="F1383">
        <v>4.7</v>
      </c>
      <c r="G1383">
        <v>0.21</v>
      </c>
      <c r="L1383">
        <v>2.25</v>
      </c>
      <c r="O1383">
        <v>5</v>
      </c>
    </row>
    <row r="1384" spans="1:15" x14ac:dyDescent="0.2">
      <c r="A1384" t="s">
        <v>60</v>
      </c>
      <c r="B1384">
        <v>3</v>
      </c>
      <c r="C1384" t="s">
        <v>13</v>
      </c>
      <c r="D1384">
        <v>5</v>
      </c>
      <c r="E1384">
        <v>2.6021000000000001</v>
      </c>
      <c r="F1384">
        <v>12.2</v>
      </c>
      <c r="G1384">
        <v>0.21</v>
      </c>
      <c r="L1384">
        <v>2.25</v>
      </c>
      <c r="O1384">
        <v>5</v>
      </c>
    </row>
    <row r="1385" spans="1:15" x14ac:dyDescent="0.2">
      <c r="A1385" t="s">
        <v>60</v>
      </c>
      <c r="B1385">
        <v>3</v>
      </c>
      <c r="C1385" t="s">
        <v>13</v>
      </c>
      <c r="D1385">
        <v>6</v>
      </c>
      <c r="E1385">
        <v>2.9834000000000001</v>
      </c>
      <c r="F1385">
        <v>5.3</v>
      </c>
      <c r="G1385">
        <v>0.22</v>
      </c>
      <c r="L1385">
        <v>2.25</v>
      </c>
      <c r="O1385">
        <v>5</v>
      </c>
    </row>
    <row r="1386" spans="1:15" x14ac:dyDescent="0.2">
      <c r="A1386" t="s">
        <v>60</v>
      </c>
      <c r="B1386">
        <v>3</v>
      </c>
      <c r="C1386" t="s">
        <v>13</v>
      </c>
      <c r="D1386">
        <v>7</v>
      </c>
      <c r="E1386">
        <v>2.8184</v>
      </c>
      <c r="F1386">
        <v>10.1</v>
      </c>
      <c r="G1386">
        <v>0.154</v>
      </c>
      <c r="L1386">
        <v>2.25</v>
      </c>
      <c r="O1386">
        <v>5</v>
      </c>
    </row>
    <row r="1387" spans="1:15" x14ac:dyDescent="0.2">
      <c r="A1387" t="s">
        <v>60</v>
      </c>
      <c r="B1387">
        <v>3</v>
      </c>
      <c r="C1387" t="s">
        <v>13</v>
      </c>
      <c r="D1387">
        <v>8</v>
      </c>
      <c r="E1387">
        <v>2.944</v>
      </c>
      <c r="F1387">
        <v>4.9000000000000004</v>
      </c>
      <c r="G1387">
        <v>0.223</v>
      </c>
      <c r="L1387">
        <v>2.25</v>
      </c>
      <c r="O1387">
        <v>5</v>
      </c>
    </row>
    <row r="1388" spans="1:15" x14ac:dyDescent="0.2">
      <c r="A1388" t="s">
        <v>60</v>
      </c>
      <c r="B1388">
        <v>3</v>
      </c>
      <c r="C1388" t="s">
        <v>13</v>
      </c>
      <c r="D1388">
        <v>9</v>
      </c>
      <c r="E1388">
        <v>2.7174999999999998</v>
      </c>
      <c r="F1388">
        <v>11.2</v>
      </c>
      <c r="G1388">
        <v>0.151</v>
      </c>
      <c r="L1388">
        <v>2.25</v>
      </c>
      <c r="O1388">
        <v>5</v>
      </c>
    </row>
    <row r="1389" spans="1:15" x14ac:dyDescent="0.2">
      <c r="A1389" t="s">
        <v>60</v>
      </c>
      <c r="B1389">
        <v>3</v>
      </c>
      <c r="C1389" t="s">
        <v>15</v>
      </c>
      <c r="D1389">
        <v>1</v>
      </c>
      <c r="E1389">
        <v>0.46339999999999998</v>
      </c>
      <c r="F1389">
        <v>70.5</v>
      </c>
      <c r="G1389">
        <v>0.93400000000000005</v>
      </c>
      <c r="L1389">
        <v>2.25</v>
      </c>
      <c r="O1389">
        <v>5</v>
      </c>
    </row>
    <row r="1390" spans="1:15" x14ac:dyDescent="0.2">
      <c r="A1390" t="s">
        <v>60</v>
      </c>
      <c r="B1390">
        <v>3</v>
      </c>
      <c r="C1390" t="s">
        <v>15</v>
      </c>
      <c r="D1390">
        <v>2</v>
      </c>
      <c r="E1390">
        <v>0.61650000000000005</v>
      </c>
      <c r="F1390">
        <v>96.3</v>
      </c>
      <c r="G1390">
        <v>1.494</v>
      </c>
      <c r="L1390">
        <v>2.25</v>
      </c>
      <c r="O1390">
        <v>5</v>
      </c>
    </row>
    <row r="1391" spans="1:15" x14ac:dyDescent="0.2">
      <c r="A1391" t="s">
        <v>60</v>
      </c>
      <c r="B1391">
        <v>3</v>
      </c>
      <c r="C1391" t="s">
        <v>15</v>
      </c>
      <c r="D1391">
        <v>3</v>
      </c>
      <c r="E1391">
        <v>0.86990000000000001</v>
      </c>
      <c r="F1391">
        <v>70.400000000000006</v>
      </c>
      <c r="G1391">
        <v>1.448</v>
      </c>
      <c r="L1391">
        <v>2.25</v>
      </c>
      <c r="O1391">
        <v>5</v>
      </c>
    </row>
    <row r="1392" spans="1:15" x14ac:dyDescent="0.2">
      <c r="A1392" t="s">
        <v>60</v>
      </c>
      <c r="B1392">
        <v>3</v>
      </c>
      <c r="C1392" t="s">
        <v>15</v>
      </c>
      <c r="D1392">
        <v>4</v>
      </c>
      <c r="E1392">
        <v>0.90580000000000005</v>
      </c>
      <c r="F1392">
        <v>93.4</v>
      </c>
      <c r="G1392">
        <v>2.5209999999999999</v>
      </c>
      <c r="L1392">
        <v>2.25</v>
      </c>
      <c r="O1392">
        <v>5</v>
      </c>
    </row>
    <row r="1393" spans="1:15" x14ac:dyDescent="0.2">
      <c r="A1393" t="s">
        <v>60</v>
      </c>
      <c r="B1393">
        <v>3</v>
      </c>
      <c r="C1393" t="s">
        <v>15</v>
      </c>
      <c r="D1393">
        <v>5</v>
      </c>
      <c r="E1393">
        <v>0.45619999999999999</v>
      </c>
      <c r="F1393">
        <v>73.5</v>
      </c>
      <c r="G1393">
        <v>1.0029999999999999</v>
      </c>
      <c r="L1393">
        <v>2.25</v>
      </c>
      <c r="O1393">
        <v>5</v>
      </c>
    </row>
    <row r="1394" spans="1:15" x14ac:dyDescent="0.2">
      <c r="A1394" t="s">
        <v>60</v>
      </c>
      <c r="B1394">
        <v>3</v>
      </c>
      <c r="C1394" t="s">
        <v>15</v>
      </c>
      <c r="D1394">
        <v>6</v>
      </c>
      <c r="E1394">
        <v>0.69850000000000001</v>
      </c>
      <c r="F1394">
        <v>95</v>
      </c>
      <c r="G1394">
        <v>1.9450000000000001</v>
      </c>
      <c r="L1394">
        <v>2.25</v>
      </c>
      <c r="O1394">
        <v>5</v>
      </c>
    </row>
    <row r="1395" spans="1:15" x14ac:dyDescent="0.2">
      <c r="A1395" t="s">
        <v>60</v>
      </c>
      <c r="B1395">
        <v>3</v>
      </c>
      <c r="C1395" t="s">
        <v>15</v>
      </c>
      <c r="D1395">
        <v>7</v>
      </c>
      <c r="E1395">
        <v>0.61899999999999999</v>
      </c>
      <c r="F1395">
        <v>71.7</v>
      </c>
      <c r="G1395">
        <v>1.3069999999999999</v>
      </c>
      <c r="L1395">
        <v>2.25</v>
      </c>
      <c r="O1395">
        <v>5</v>
      </c>
    </row>
    <row r="1396" spans="1:15" x14ac:dyDescent="0.2">
      <c r="A1396" t="s">
        <v>60</v>
      </c>
      <c r="B1396">
        <v>3</v>
      </c>
      <c r="C1396" t="s">
        <v>15</v>
      </c>
      <c r="D1396">
        <v>8</v>
      </c>
      <c r="E1396">
        <v>0.54979999999999996</v>
      </c>
      <c r="F1396">
        <v>90.6</v>
      </c>
      <c r="G1396">
        <v>2.3029999999999999</v>
      </c>
      <c r="L1396">
        <v>2.25</v>
      </c>
      <c r="O1396">
        <v>5</v>
      </c>
    </row>
    <row r="1397" spans="1:15" x14ac:dyDescent="0.2">
      <c r="A1397" t="s">
        <v>60</v>
      </c>
      <c r="B1397">
        <v>3</v>
      </c>
      <c r="C1397" t="s">
        <v>15</v>
      </c>
      <c r="D1397">
        <v>9</v>
      </c>
      <c r="E1397">
        <v>0.6633</v>
      </c>
      <c r="F1397">
        <v>75.8</v>
      </c>
      <c r="G1397">
        <v>1.5469999999999999</v>
      </c>
      <c r="L1397">
        <v>2.25</v>
      </c>
      <c r="O1397">
        <v>5</v>
      </c>
    </row>
    <row r="1398" spans="1:15" x14ac:dyDescent="0.2">
      <c r="A1398" t="s">
        <v>60</v>
      </c>
      <c r="B1398">
        <v>4</v>
      </c>
      <c r="C1398" t="s">
        <v>17</v>
      </c>
      <c r="D1398">
        <v>1</v>
      </c>
      <c r="E1398">
        <v>1.2035</v>
      </c>
      <c r="F1398">
        <v>55.3</v>
      </c>
      <c r="G1398">
        <v>0.29599999999999999</v>
      </c>
      <c r="L1398">
        <v>0.7</v>
      </c>
      <c r="O1398">
        <v>5</v>
      </c>
    </row>
    <row r="1399" spans="1:15" x14ac:dyDescent="0.2">
      <c r="A1399" t="s">
        <v>60</v>
      </c>
      <c r="B1399">
        <v>4</v>
      </c>
      <c r="C1399" t="s">
        <v>17</v>
      </c>
      <c r="D1399">
        <v>2</v>
      </c>
      <c r="E1399">
        <v>1.0883</v>
      </c>
      <c r="F1399">
        <v>32.6</v>
      </c>
      <c r="G1399">
        <v>0.19400000000000001</v>
      </c>
      <c r="L1399">
        <v>0.7</v>
      </c>
      <c r="O1399">
        <v>5</v>
      </c>
    </row>
    <row r="1400" spans="1:15" x14ac:dyDescent="0.2">
      <c r="A1400" t="s">
        <v>60</v>
      </c>
      <c r="B1400">
        <v>4</v>
      </c>
      <c r="C1400" t="s">
        <v>17</v>
      </c>
      <c r="D1400">
        <v>3</v>
      </c>
      <c r="E1400">
        <v>1.1341000000000001</v>
      </c>
      <c r="F1400">
        <v>50.3</v>
      </c>
      <c r="G1400">
        <v>0.23200000000000001</v>
      </c>
      <c r="L1400">
        <v>0.7</v>
      </c>
      <c r="O1400">
        <v>5</v>
      </c>
    </row>
    <row r="1401" spans="1:15" x14ac:dyDescent="0.2">
      <c r="A1401" t="s">
        <v>60</v>
      </c>
      <c r="B1401">
        <v>4</v>
      </c>
      <c r="C1401" t="s">
        <v>17</v>
      </c>
      <c r="D1401">
        <v>4</v>
      </c>
      <c r="E1401">
        <v>1.0456000000000001</v>
      </c>
      <c r="F1401">
        <v>31.2</v>
      </c>
      <c r="G1401">
        <v>0.17</v>
      </c>
      <c r="L1401">
        <v>0.7</v>
      </c>
      <c r="O1401">
        <v>5</v>
      </c>
    </row>
    <row r="1402" spans="1:15" x14ac:dyDescent="0.2">
      <c r="A1402" t="s">
        <v>60</v>
      </c>
      <c r="B1402">
        <v>4</v>
      </c>
      <c r="C1402" t="s">
        <v>17</v>
      </c>
      <c r="D1402">
        <v>5</v>
      </c>
      <c r="E1402">
        <v>0.98150000000000004</v>
      </c>
      <c r="F1402">
        <v>55.3</v>
      </c>
      <c r="G1402">
        <v>0.222</v>
      </c>
      <c r="L1402">
        <v>0.7</v>
      </c>
      <c r="O1402">
        <v>5</v>
      </c>
    </row>
    <row r="1403" spans="1:15" x14ac:dyDescent="0.2">
      <c r="A1403" t="s">
        <v>60</v>
      </c>
      <c r="B1403">
        <v>4</v>
      </c>
      <c r="C1403" t="s">
        <v>17</v>
      </c>
      <c r="D1403">
        <v>6</v>
      </c>
      <c r="E1403">
        <v>1.099</v>
      </c>
      <c r="F1403">
        <v>38.4</v>
      </c>
      <c r="G1403">
        <v>0.16700000000000001</v>
      </c>
      <c r="L1403">
        <v>0.7</v>
      </c>
      <c r="O1403">
        <v>5</v>
      </c>
    </row>
    <row r="1404" spans="1:15" x14ac:dyDescent="0.2">
      <c r="A1404" t="s">
        <v>60</v>
      </c>
      <c r="B1404">
        <v>4</v>
      </c>
      <c r="C1404" t="s">
        <v>17</v>
      </c>
      <c r="D1404">
        <v>7</v>
      </c>
      <c r="E1404">
        <v>1.2824</v>
      </c>
      <c r="F1404">
        <v>58.5</v>
      </c>
      <c r="G1404">
        <v>0.22900000000000001</v>
      </c>
      <c r="L1404">
        <v>0.7</v>
      </c>
      <c r="O1404">
        <v>5</v>
      </c>
    </row>
    <row r="1405" spans="1:15" x14ac:dyDescent="0.2">
      <c r="A1405" t="s">
        <v>60</v>
      </c>
      <c r="B1405">
        <v>4</v>
      </c>
      <c r="C1405" t="s">
        <v>17</v>
      </c>
      <c r="D1405">
        <v>8</v>
      </c>
      <c r="E1405">
        <v>1.2311000000000001</v>
      </c>
      <c r="F1405">
        <v>33.200000000000003</v>
      </c>
      <c r="G1405">
        <v>0.20300000000000001</v>
      </c>
      <c r="L1405">
        <v>0.7</v>
      </c>
      <c r="O1405">
        <v>5</v>
      </c>
    </row>
    <row r="1406" spans="1:15" x14ac:dyDescent="0.2">
      <c r="A1406" t="s">
        <v>60</v>
      </c>
      <c r="B1406">
        <v>4</v>
      </c>
      <c r="C1406" t="s">
        <v>17</v>
      </c>
      <c r="D1406">
        <v>9</v>
      </c>
      <c r="E1406">
        <v>1.2867999999999999</v>
      </c>
      <c r="F1406">
        <v>54.9</v>
      </c>
      <c r="G1406">
        <v>0.26500000000000001</v>
      </c>
      <c r="L1406">
        <v>0.7</v>
      </c>
      <c r="O1406">
        <v>5</v>
      </c>
    </row>
    <row r="1407" spans="1:15" x14ac:dyDescent="0.2">
      <c r="A1407" t="s">
        <v>60</v>
      </c>
      <c r="B1407">
        <v>4</v>
      </c>
      <c r="C1407" t="s">
        <v>13</v>
      </c>
      <c r="D1407">
        <v>1</v>
      </c>
      <c r="E1407">
        <v>2.9903</v>
      </c>
      <c r="F1407">
        <v>14.1</v>
      </c>
      <c r="G1407">
        <v>0.317</v>
      </c>
      <c r="L1407">
        <v>0.7</v>
      </c>
      <c r="O1407">
        <v>15</v>
      </c>
    </row>
    <row r="1408" spans="1:15" x14ac:dyDescent="0.2">
      <c r="A1408" t="s">
        <v>60</v>
      </c>
      <c r="B1408">
        <v>4</v>
      </c>
      <c r="C1408" t="s">
        <v>13</v>
      </c>
      <c r="D1408">
        <v>2</v>
      </c>
      <c r="E1408">
        <v>2.9704999999999999</v>
      </c>
      <c r="F1408">
        <v>11.1</v>
      </c>
      <c r="G1408">
        <v>0.308</v>
      </c>
      <c r="L1408">
        <v>0.7</v>
      </c>
      <c r="O1408">
        <v>15</v>
      </c>
    </row>
    <row r="1409" spans="1:15" x14ac:dyDescent="0.2">
      <c r="A1409" t="s">
        <v>60</v>
      </c>
      <c r="B1409">
        <v>4</v>
      </c>
      <c r="C1409" t="s">
        <v>13</v>
      </c>
      <c r="D1409">
        <v>3</v>
      </c>
      <c r="E1409">
        <v>0.76029999999999998</v>
      </c>
      <c r="F1409">
        <v>13.6</v>
      </c>
      <c r="G1409">
        <v>0.187</v>
      </c>
      <c r="L1409">
        <v>0.7</v>
      </c>
      <c r="O1409">
        <v>15</v>
      </c>
    </row>
    <row r="1410" spans="1:15" x14ac:dyDescent="0.2">
      <c r="A1410" t="s">
        <v>60</v>
      </c>
      <c r="B1410">
        <v>4</v>
      </c>
      <c r="C1410" t="s">
        <v>13</v>
      </c>
      <c r="D1410">
        <v>4</v>
      </c>
      <c r="E1410">
        <v>3.1617000000000002</v>
      </c>
      <c r="F1410">
        <v>10.1</v>
      </c>
      <c r="G1410">
        <v>0.215</v>
      </c>
      <c r="L1410">
        <v>0.7</v>
      </c>
      <c r="O1410">
        <v>15</v>
      </c>
    </row>
    <row r="1411" spans="1:15" x14ac:dyDescent="0.2">
      <c r="A1411" t="s">
        <v>60</v>
      </c>
      <c r="B1411">
        <v>4</v>
      </c>
      <c r="C1411" t="s">
        <v>13</v>
      </c>
      <c r="D1411">
        <v>5</v>
      </c>
      <c r="E1411">
        <v>1.06</v>
      </c>
      <c r="F1411">
        <v>15</v>
      </c>
      <c r="G1411">
        <v>0.184</v>
      </c>
      <c r="L1411">
        <v>0.7</v>
      </c>
      <c r="O1411">
        <v>15</v>
      </c>
    </row>
    <row r="1412" spans="1:15" x14ac:dyDescent="0.2">
      <c r="A1412" t="s">
        <v>60</v>
      </c>
      <c r="B1412">
        <v>4</v>
      </c>
      <c r="C1412" t="s">
        <v>13</v>
      </c>
      <c r="D1412">
        <v>6</v>
      </c>
      <c r="E1412">
        <v>2.8117999999999999</v>
      </c>
      <c r="F1412">
        <v>12</v>
      </c>
      <c r="G1412">
        <v>0.30299999999999999</v>
      </c>
      <c r="L1412">
        <v>0.7</v>
      </c>
      <c r="O1412">
        <v>15</v>
      </c>
    </row>
    <row r="1413" spans="1:15" x14ac:dyDescent="0.2">
      <c r="A1413" t="s">
        <v>60</v>
      </c>
      <c r="B1413">
        <v>4</v>
      </c>
      <c r="C1413" t="s">
        <v>13</v>
      </c>
      <c r="D1413">
        <v>7</v>
      </c>
      <c r="E1413">
        <v>0.85980000000000001</v>
      </c>
      <c r="F1413">
        <v>14.3</v>
      </c>
      <c r="G1413">
        <v>0.112</v>
      </c>
      <c r="L1413">
        <v>0.7</v>
      </c>
      <c r="O1413">
        <v>15</v>
      </c>
    </row>
    <row r="1414" spans="1:15" x14ac:dyDescent="0.2">
      <c r="A1414" t="s">
        <v>60</v>
      </c>
      <c r="B1414">
        <v>4</v>
      </c>
      <c r="C1414" t="s">
        <v>13</v>
      </c>
      <c r="D1414">
        <v>8</v>
      </c>
      <c r="E1414">
        <v>0.81</v>
      </c>
      <c r="F1414">
        <v>11.1</v>
      </c>
      <c r="G1414">
        <v>0.20899999999999999</v>
      </c>
      <c r="L1414">
        <v>0.7</v>
      </c>
      <c r="O1414">
        <v>15</v>
      </c>
    </row>
    <row r="1415" spans="1:15" x14ac:dyDescent="0.2">
      <c r="A1415" t="s">
        <v>60</v>
      </c>
      <c r="B1415">
        <v>4</v>
      </c>
      <c r="C1415" t="s">
        <v>13</v>
      </c>
      <c r="D1415">
        <v>9</v>
      </c>
      <c r="E1415">
        <v>0.82140000000000002</v>
      </c>
      <c r="F1415">
        <v>14.9</v>
      </c>
      <c r="G1415">
        <v>0.18</v>
      </c>
      <c r="L1415">
        <v>0.7</v>
      </c>
      <c r="O1415">
        <v>15</v>
      </c>
    </row>
    <row r="1416" spans="1:15" x14ac:dyDescent="0.2">
      <c r="A1416" t="s">
        <v>60</v>
      </c>
      <c r="B1416">
        <v>4</v>
      </c>
      <c r="C1416" t="s">
        <v>19</v>
      </c>
      <c r="D1416">
        <v>1</v>
      </c>
      <c r="E1416">
        <v>0.64839999999999998</v>
      </c>
      <c r="F1416">
        <v>14.6</v>
      </c>
      <c r="G1416">
        <v>1.6E-2</v>
      </c>
      <c r="L1416">
        <v>0.7</v>
      </c>
      <c r="O1416">
        <v>5</v>
      </c>
    </row>
    <row r="1417" spans="1:15" x14ac:dyDescent="0.2">
      <c r="A1417" t="s">
        <v>60</v>
      </c>
      <c r="B1417">
        <v>4</v>
      </c>
      <c r="C1417" t="s">
        <v>19</v>
      </c>
      <c r="D1417">
        <v>2</v>
      </c>
      <c r="E1417">
        <v>0.74370000000000003</v>
      </c>
      <c r="F1417">
        <v>13.4</v>
      </c>
      <c r="G1417">
        <v>1.6E-2</v>
      </c>
      <c r="L1417">
        <v>0.7</v>
      </c>
      <c r="O1417">
        <v>5</v>
      </c>
    </row>
    <row r="1418" spans="1:15" x14ac:dyDescent="0.2">
      <c r="A1418" t="s">
        <v>60</v>
      </c>
      <c r="B1418">
        <v>4</v>
      </c>
      <c r="C1418" t="s">
        <v>19</v>
      </c>
      <c r="D1418">
        <v>3</v>
      </c>
      <c r="E1418">
        <v>0.69669999999999999</v>
      </c>
      <c r="F1418">
        <v>16.2</v>
      </c>
      <c r="G1418">
        <v>2.4E-2</v>
      </c>
      <c r="L1418">
        <v>0.7</v>
      </c>
      <c r="O1418">
        <v>5</v>
      </c>
    </row>
    <row r="1419" spans="1:15" x14ac:dyDescent="0.2">
      <c r="A1419" t="s">
        <v>60</v>
      </c>
      <c r="B1419">
        <v>4</v>
      </c>
      <c r="C1419" t="s">
        <v>19</v>
      </c>
      <c r="D1419">
        <v>4</v>
      </c>
      <c r="E1419">
        <v>0.4945</v>
      </c>
      <c r="F1419">
        <v>13.9</v>
      </c>
      <c r="G1419">
        <v>0.01</v>
      </c>
      <c r="L1419">
        <v>0.7</v>
      </c>
      <c r="O1419">
        <v>5</v>
      </c>
    </row>
    <row r="1420" spans="1:15" x14ac:dyDescent="0.2">
      <c r="A1420" t="s">
        <v>60</v>
      </c>
      <c r="B1420">
        <v>4</v>
      </c>
      <c r="C1420" t="s">
        <v>19</v>
      </c>
      <c r="D1420">
        <v>5</v>
      </c>
      <c r="E1420">
        <v>0.56679999999999997</v>
      </c>
      <c r="F1420">
        <v>15</v>
      </c>
      <c r="G1420">
        <v>1.0999999999999999E-2</v>
      </c>
      <c r="L1420">
        <v>0.7</v>
      </c>
      <c r="O1420">
        <v>5</v>
      </c>
    </row>
    <row r="1421" spans="1:15" x14ac:dyDescent="0.2">
      <c r="A1421" t="s">
        <v>60</v>
      </c>
      <c r="B1421">
        <v>4</v>
      </c>
      <c r="C1421" t="s">
        <v>19</v>
      </c>
      <c r="D1421">
        <v>6</v>
      </c>
      <c r="E1421">
        <v>0.58989999999999998</v>
      </c>
      <c r="F1421">
        <v>13</v>
      </c>
      <c r="G1421">
        <v>1.4E-2</v>
      </c>
      <c r="L1421">
        <v>0.7</v>
      </c>
      <c r="O1421">
        <v>5</v>
      </c>
    </row>
    <row r="1422" spans="1:15" x14ac:dyDescent="0.2">
      <c r="A1422" t="s">
        <v>60</v>
      </c>
      <c r="B1422">
        <v>4</v>
      </c>
      <c r="C1422" t="s">
        <v>19</v>
      </c>
      <c r="D1422">
        <v>7</v>
      </c>
      <c r="E1422">
        <v>0.78890000000000005</v>
      </c>
      <c r="F1422">
        <v>14.9</v>
      </c>
      <c r="G1422">
        <v>1.4999999999999999E-2</v>
      </c>
      <c r="L1422">
        <v>0.7</v>
      </c>
      <c r="O1422">
        <v>5</v>
      </c>
    </row>
    <row r="1423" spans="1:15" x14ac:dyDescent="0.2">
      <c r="A1423" t="s">
        <v>60</v>
      </c>
      <c r="B1423">
        <v>4</v>
      </c>
      <c r="C1423" t="s">
        <v>19</v>
      </c>
      <c r="D1423">
        <v>8</v>
      </c>
      <c r="E1423">
        <v>0.69750000000000001</v>
      </c>
      <c r="F1423">
        <v>14.7</v>
      </c>
      <c r="G1423">
        <v>1.7000000000000001E-2</v>
      </c>
      <c r="L1423">
        <v>0.7</v>
      </c>
      <c r="O1423">
        <v>5</v>
      </c>
    </row>
    <row r="1424" spans="1:15" x14ac:dyDescent="0.2">
      <c r="A1424" t="s">
        <v>60</v>
      </c>
      <c r="B1424">
        <v>4</v>
      </c>
      <c r="C1424" t="s">
        <v>19</v>
      </c>
      <c r="D1424">
        <v>9</v>
      </c>
      <c r="E1424">
        <v>1E-3</v>
      </c>
      <c r="F1424">
        <v>0</v>
      </c>
      <c r="G1424">
        <v>1E-3</v>
      </c>
      <c r="L1424">
        <v>0.7</v>
      </c>
      <c r="O1424">
        <v>5</v>
      </c>
    </row>
    <row r="1425" spans="1:15" x14ac:dyDescent="0.2">
      <c r="A1425" t="s">
        <v>60</v>
      </c>
      <c r="B1425">
        <v>4</v>
      </c>
      <c r="C1425" t="s">
        <v>15</v>
      </c>
      <c r="D1425">
        <v>1</v>
      </c>
      <c r="E1425">
        <v>0.35620000000000002</v>
      </c>
      <c r="F1425">
        <v>39.9</v>
      </c>
      <c r="G1425">
        <v>0.84499999999999997</v>
      </c>
      <c r="L1425">
        <v>0.7</v>
      </c>
      <c r="O1425">
        <v>5</v>
      </c>
    </row>
    <row r="1426" spans="1:15" x14ac:dyDescent="0.2">
      <c r="A1426" t="s">
        <v>60</v>
      </c>
      <c r="B1426">
        <v>4</v>
      </c>
      <c r="C1426" t="s">
        <v>15</v>
      </c>
      <c r="D1426">
        <v>2</v>
      </c>
      <c r="E1426">
        <v>0.35089999999999999</v>
      </c>
      <c r="F1426">
        <v>45.2</v>
      </c>
      <c r="G1426">
        <v>1.968</v>
      </c>
      <c r="L1426">
        <v>0.7</v>
      </c>
      <c r="O1426">
        <v>5</v>
      </c>
    </row>
    <row r="1427" spans="1:15" x14ac:dyDescent="0.2">
      <c r="A1427" t="s">
        <v>60</v>
      </c>
      <c r="B1427">
        <v>4</v>
      </c>
      <c r="C1427" t="s">
        <v>15</v>
      </c>
      <c r="D1427">
        <v>3</v>
      </c>
      <c r="E1427">
        <v>0.33700000000000002</v>
      </c>
      <c r="F1427">
        <v>36.5</v>
      </c>
      <c r="G1427">
        <v>1.0640000000000001</v>
      </c>
      <c r="L1427">
        <v>0.7</v>
      </c>
      <c r="O1427">
        <v>5</v>
      </c>
    </row>
    <row r="1428" spans="1:15" x14ac:dyDescent="0.2">
      <c r="A1428" t="s">
        <v>60</v>
      </c>
      <c r="B1428">
        <v>4</v>
      </c>
      <c r="C1428" t="s">
        <v>15</v>
      </c>
      <c r="D1428">
        <v>4</v>
      </c>
      <c r="E1428">
        <v>0.32429999999999998</v>
      </c>
      <c r="F1428">
        <v>38.5</v>
      </c>
      <c r="G1428">
        <v>0.46300000000000002</v>
      </c>
      <c r="L1428">
        <v>0.7</v>
      </c>
      <c r="O1428">
        <v>5</v>
      </c>
    </row>
    <row r="1429" spans="1:15" x14ac:dyDescent="0.2">
      <c r="A1429" t="s">
        <v>60</v>
      </c>
      <c r="B1429">
        <v>4</v>
      </c>
      <c r="C1429" t="s">
        <v>15</v>
      </c>
      <c r="D1429">
        <v>5</v>
      </c>
      <c r="E1429">
        <v>0.3755</v>
      </c>
      <c r="F1429">
        <v>46</v>
      </c>
      <c r="G1429">
        <v>1.575</v>
      </c>
      <c r="L1429">
        <v>0.7</v>
      </c>
      <c r="O1429">
        <v>5</v>
      </c>
    </row>
    <row r="1430" spans="1:15" x14ac:dyDescent="0.2">
      <c r="A1430" t="s">
        <v>60</v>
      </c>
      <c r="B1430">
        <v>4</v>
      </c>
      <c r="C1430" t="s">
        <v>15</v>
      </c>
      <c r="D1430">
        <v>6</v>
      </c>
      <c r="E1430">
        <v>0.38390000000000002</v>
      </c>
      <c r="F1430">
        <v>38.9</v>
      </c>
      <c r="G1430">
        <v>0.749</v>
      </c>
      <c r="L1430">
        <v>0.7</v>
      </c>
      <c r="O1430">
        <v>5</v>
      </c>
    </row>
    <row r="1431" spans="1:15" x14ac:dyDescent="0.2">
      <c r="A1431" t="s">
        <v>60</v>
      </c>
      <c r="B1431">
        <v>4</v>
      </c>
      <c r="C1431" t="s">
        <v>15</v>
      </c>
      <c r="D1431">
        <v>7</v>
      </c>
      <c r="E1431">
        <v>0.39889999999999998</v>
      </c>
      <c r="F1431">
        <v>43</v>
      </c>
      <c r="G1431">
        <v>0.70799999999999996</v>
      </c>
      <c r="L1431">
        <v>0.7</v>
      </c>
      <c r="O1431">
        <v>5</v>
      </c>
    </row>
    <row r="1432" spans="1:15" x14ac:dyDescent="0.2">
      <c r="A1432" t="s">
        <v>60</v>
      </c>
      <c r="B1432">
        <v>4</v>
      </c>
      <c r="C1432" t="s">
        <v>15</v>
      </c>
      <c r="D1432">
        <v>8</v>
      </c>
      <c r="E1432">
        <v>0.40679999999999999</v>
      </c>
      <c r="F1432">
        <v>44.7</v>
      </c>
      <c r="G1432">
        <v>1.2070000000000001</v>
      </c>
      <c r="L1432">
        <v>0.7</v>
      </c>
      <c r="O1432">
        <v>5</v>
      </c>
    </row>
    <row r="1433" spans="1:15" x14ac:dyDescent="0.2">
      <c r="A1433" t="s">
        <v>60</v>
      </c>
      <c r="B1433">
        <v>4</v>
      </c>
      <c r="C1433" t="s">
        <v>15</v>
      </c>
      <c r="D1433">
        <v>9</v>
      </c>
      <c r="E1433">
        <v>0.37490000000000001</v>
      </c>
      <c r="F1433">
        <v>40.1</v>
      </c>
      <c r="G1433">
        <v>0.77900000000000003</v>
      </c>
      <c r="L1433">
        <v>0.7</v>
      </c>
      <c r="O1433">
        <v>5</v>
      </c>
    </row>
    <row r="1434" spans="1:15" x14ac:dyDescent="0.2">
      <c r="A1434" t="s">
        <v>60</v>
      </c>
      <c r="B1434">
        <v>5</v>
      </c>
      <c r="C1434" t="s">
        <v>18</v>
      </c>
      <c r="D1434">
        <v>1</v>
      </c>
      <c r="E1434">
        <v>0.55379999999999996</v>
      </c>
      <c r="F1434">
        <v>11.9</v>
      </c>
      <c r="G1434">
        <v>0.78</v>
      </c>
      <c r="L1434">
        <v>7.0000000000000007E-2</v>
      </c>
      <c r="O1434">
        <v>5</v>
      </c>
    </row>
    <row r="1435" spans="1:15" x14ac:dyDescent="0.2">
      <c r="A1435" t="s">
        <v>60</v>
      </c>
      <c r="B1435">
        <v>5</v>
      </c>
      <c r="C1435" t="s">
        <v>18</v>
      </c>
      <c r="D1435">
        <v>2</v>
      </c>
      <c r="E1435">
        <v>0.49440000000000001</v>
      </c>
      <c r="F1435">
        <v>9</v>
      </c>
      <c r="G1435">
        <v>0.26600000000000001</v>
      </c>
      <c r="L1435">
        <v>7.0000000000000007E-2</v>
      </c>
      <c r="O1435">
        <v>5</v>
      </c>
    </row>
    <row r="1436" spans="1:15" x14ac:dyDescent="0.2">
      <c r="A1436" t="s">
        <v>60</v>
      </c>
      <c r="B1436">
        <v>5</v>
      </c>
      <c r="C1436" t="s">
        <v>18</v>
      </c>
      <c r="D1436">
        <v>3</v>
      </c>
      <c r="E1436">
        <v>0.43080000000000002</v>
      </c>
      <c r="F1436">
        <v>12.3</v>
      </c>
      <c r="G1436">
        <v>0.308</v>
      </c>
      <c r="L1436">
        <v>7.0000000000000007E-2</v>
      </c>
      <c r="O1436">
        <v>5</v>
      </c>
    </row>
    <row r="1437" spans="1:15" x14ac:dyDescent="0.2">
      <c r="A1437" t="s">
        <v>60</v>
      </c>
      <c r="B1437">
        <v>5</v>
      </c>
      <c r="C1437" t="s">
        <v>18</v>
      </c>
      <c r="D1437">
        <v>4</v>
      </c>
      <c r="E1437">
        <v>0.92379999999999995</v>
      </c>
      <c r="F1437">
        <v>10</v>
      </c>
      <c r="G1437">
        <v>0.622</v>
      </c>
      <c r="L1437">
        <v>7.0000000000000007E-2</v>
      </c>
      <c r="O1437">
        <v>5</v>
      </c>
    </row>
    <row r="1438" spans="1:15" x14ac:dyDescent="0.2">
      <c r="A1438" t="s">
        <v>60</v>
      </c>
      <c r="B1438">
        <v>5</v>
      </c>
      <c r="C1438" t="s">
        <v>18</v>
      </c>
      <c r="D1438">
        <v>5</v>
      </c>
      <c r="E1438">
        <v>0.80940000000000001</v>
      </c>
      <c r="F1438">
        <v>8.5</v>
      </c>
      <c r="G1438">
        <v>0.51400000000000001</v>
      </c>
      <c r="L1438">
        <v>7.0000000000000007E-2</v>
      </c>
      <c r="O1438">
        <v>5</v>
      </c>
    </row>
    <row r="1439" spans="1:15" x14ac:dyDescent="0.2">
      <c r="A1439" t="s">
        <v>60</v>
      </c>
      <c r="B1439">
        <v>5</v>
      </c>
      <c r="C1439" t="s">
        <v>18</v>
      </c>
      <c r="D1439">
        <v>6</v>
      </c>
      <c r="E1439">
        <v>0.87539999999999996</v>
      </c>
      <c r="F1439">
        <v>13.7</v>
      </c>
      <c r="G1439">
        <v>0.38800000000000001</v>
      </c>
      <c r="L1439">
        <v>7.0000000000000007E-2</v>
      </c>
      <c r="O1439">
        <v>5</v>
      </c>
    </row>
    <row r="1440" spans="1:15" x14ac:dyDescent="0.2">
      <c r="A1440" t="s">
        <v>60</v>
      </c>
      <c r="B1440">
        <v>5</v>
      </c>
      <c r="C1440" t="s">
        <v>18</v>
      </c>
      <c r="D1440">
        <v>7</v>
      </c>
      <c r="E1440">
        <v>0.81789999999999996</v>
      </c>
      <c r="F1440">
        <v>12.6</v>
      </c>
      <c r="G1440">
        <v>0.377</v>
      </c>
      <c r="L1440">
        <v>7.0000000000000007E-2</v>
      </c>
      <c r="O1440">
        <v>5</v>
      </c>
    </row>
    <row r="1441" spans="1:15" x14ac:dyDescent="0.2">
      <c r="A1441" t="s">
        <v>60</v>
      </c>
      <c r="B1441">
        <v>5</v>
      </c>
      <c r="C1441" t="s">
        <v>18</v>
      </c>
      <c r="D1441">
        <v>8</v>
      </c>
      <c r="E1441">
        <v>0.97709999999999997</v>
      </c>
      <c r="F1441">
        <v>9.6</v>
      </c>
      <c r="G1441">
        <v>0.22500000000000001</v>
      </c>
      <c r="L1441">
        <v>7.0000000000000007E-2</v>
      </c>
      <c r="O1441">
        <v>5</v>
      </c>
    </row>
    <row r="1442" spans="1:15" x14ac:dyDescent="0.2">
      <c r="A1442" t="s">
        <v>60</v>
      </c>
      <c r="B1442">
        <v>5</v>
      </c>
      <c r="C1442" t="s">
        <v>18</v>
      </c>
      <c r="D1442">
        <v>9</v>
      </c>
      <c r="E1442">
        <v>0.82350000000000001</v>
      </c>
      <c r="F1442">
        <v>12.6</v>
      </c>
      <c r="G1442">
        <v>0.13600000000000001</v>
      </c>
      <c r="L1442">
        <v>7.0000000000000007E-2</v>
      </c>
      <c r="O1442">
        <v>5</v>
      </c>
    </row>
    <row r="1443" spans="1:15" x14ac:dyDescent="0.2">
      <c r="A1443" t="s">
        <v>60</v>
      </c>
      <c r="B1443">
        <v>5</v>
      </c>
      <c r="C1443" t="s">
        <v>33</v>
      </c>
      <c r="D1443">
        <v>1</v>
      </c>
      <c r="E1443">
        <v>0.3644</v>
      </c>
      <c r="F1443">
        <v>19.2</v>
      </c>
      <c r="G1443">
        <v>0.11799999999999999</v>
      </c>
      <c r="L1443">
        <v>7.0000000000000007E-2</v>
      </c>
      <c r="O1443">
        <v>5</v>
      </c>
    </row>
    <row r="1444" spans="1:15" x14ac:dyDescent="0.2">
      <c r="A1444" t="s">
        <v>60</v>
      </c>
      <c r="B1444">
        <v>5</v>
      </c>
      <c r="C1444" t="s">
        <v>33</v>
      </c>
      <c r="D1444">
        <v>2</v>
      </c>
      <c r="E1444">
        <v>0.33579999999999999</v>
      </c>
      <c r="F1444">
        <v>17.899999999999999</v>
      </c>
      <c r="G1444">
        <v>5.0999999999999997E-2</v>
      </c>
      <c r="L1444">
        <v>7.0000000000000007E-2</v>
      </c>
      <c r="O1444">
        <v>5</v>
      </c>
    </row>
    <row r="1445" spans="1:15" x14ac:dyDescent="0.2">
      <c r="A1445" t="s">
        <v>60</v>
      </c>
      <c r="B1445">
        <v>5</v>
      </c>
      <c r="C1445" t="s">
        <v>33</v>
      </c>
      <c r="D1445">
        <v>3</v>
      </c>
      <c r="E1445">
        <v>0.2054</v>
      </c>
      <c r="F1445">
        <v>19.7</v>
      </c>
      <c r="G1445">
        <v>0.11</v>
      </c>
      <c r="L1445">
        <v>7.0000000000000007E-2</v>
      </c>
      <c r="O1445">
        <v>5</v>
      </c>
    </row>
    <row r="1446" spans="1:15" x14ac:dyDescent="0.2">
      <c r="A1446" t="s">
        <v>60</v>
      </c>
      <c r="B1446">
        <v>5</v>
      </c>
      <c r="C1446" t="s">
        <v>33</v>
      </c>
      <c r="D1446">
        <v>4</v>
      </c>
      <c r="E1446">
        <v>0.15279999999999999</v>
      </c>
      <c r="F1446">
        <v>19.8</v>
      </c>
      <c r="G1446">
        <v>5.8000000000000003E-2</v>
      </c>
      <c r="L1446">
        <v>7.0000000000000007E-2</v>
      </c>
      <c r="O1446">
        <v>5</v>
      </c>
    </row>
    <row r="1447" spans="1:15" x14ac:dyDescent="0.2">
      <c r="A1447" t="s">
        <v>60</v>
      </c>
      <c r="B1447">
        <v>5</v>
      </c>
      <c r="C1447" t="s">
        <v>33</v>
      </c>
      <c r="D1447">
        <v>5</v>
      </c>
      <c r="E1447">
        <v>0.17599999999999999</v>
      </c>
      <c r="F1447">
        <v>20.6</v>
      </c>
      <c r="G1447">
        <v>8.8999999999999996E-2</v>
      </c>
      <c r="L1447">
        <v>7.0000000000000007E-2</v>
      </c>
      <c r="O1447">
        <v>5</v>
      </c>
    </row>
    <row r="1448" spans="1:15" x14ac:dyDescent="0.2">
      <c r="A1448" t="s">
        <v>60</v>
      </c>
      <c r="B1448">
        <v>5</v>
      </c>
      <c r="C1448" t="s">
        <v>33</v>
      </c>
      <c r="D1448">
        <v>6</v>
      </c>
      <c r="E1448">
        <v>0.183</v>
      </c>
      <c r="F1448">
        <v>17.399999999999999</v>
      </c>
      <c r="G1448">
        <v>0.16700000000000001</v>
      </c>
      <c r="L1448">
        <v>7.0000000000000007E-2</v>
      </c>
      <c r="O1448">
        <v>5</v>
      </c>
    </row>
    <row r="1449" spans="1:15" x14ac:dyDescent="0.2">
      <c r="A1449" t="s">
        <v>60</v>
      </c>
      <c r="B1449">
        <v>5</v>
      </c>
      <c r="C1449" t="s">
        <v>33</v>
      </c>
      <c r="D1449">
        <v>7</v>
      </c>
      <c r="E1449">
        <v>0.27660000000000001</v>
      </c>
      <c r="F1449">
        <v>20.7</v>
      </c>
      <c r="G1449">
        <v>0.17299999999999999</v>
      </c>
      <c r="L1449">
        <v>7.0000000000000007E-2</v>
      </c>
      <c r="O1449">
        <v>5</v>
      </c>
    </row>
    <row r="1450" spans="1:15" x14ac:dyDescent="0.2">
      <c r="A1450" t="s">
        <v>60</v>
      </c>
      <c r="B1450">
        <v>5</v>
      </c>
      <c r="C1450" t="s">
        <v>33</v>
      </c>
      <c r="D1450">
        <v>8</v>
      </c>
      <c r="E1450">
        <v>0.153</v>
      </c>
      <c r="F1450">
        <v>18.600000000000001</v>
      </c>
      <c r="G1450">
        <v>8.6999999999999994E-2</v>
      </c>
      <c r="L1450">
        <v>7.0000000000000007E-2</v>
      </c>
      <c r="O1450">
        <v>5</v>
      </c>
    </row>
    <row r="1451" spans="1:15" x14ac:dyDescent="0.2">
      <c r="A1451" t="s">
        <v>60</v>
      </c>
      <c r="B1451">
        <v>5</v>
      </c>
      <c r="C1451" t="s">
        <v>33</v>
      </c>
      <c r="D1451">
        <v>9</v>
      </c>
      <c r="E1451">
        <v>0.1789</v>
      </c>
      <c r="F1451">
        <v>19.8</v>
      </c>
      <c r="G1451">
        <v>7.8E-2</v>
      </c>
      <c r="L1451">
        <v>7.0000000000000007E-2</v>
      </c>
      <c r="O1451">
        <v>5</v>
      </c>
    </row>
    <row r="1452" spans="1:15" x14ac:dyDescent="0.2">
      <c r="A1452" t="s">
        <v>60</v>
      </c>
      <c r="B1452">
        <v>5</v>
      </c>
      <c r="C1452" t="s">
        <v>17</v>
      </c>
      <c r="D1452">
        <v>1</v>
      </c>
      <c r="E1452">
        <v>1.2381</v>
      </c>
      <c r="F1452">
        <v>52.1</v>
      </c>
      <c r="G1452">
        <v>0.32900000000000001</v>
      </c>
      <c r="L1452">
        <v>7.0000000000000007E-2</v>
      </c>
      <c r="O1452">
        <v>5</v>
      </c>
    </row>
    <row r="1453" spans="1:15" x14ac:dyDescent="0.2">
      <c r="A1453" t="s">
        <v>60</v>
      </c>
      <c r="B1453">
        <v>5</v>
      </c>
      <c r="C1453" t="s">
        <v>17</v>
      </c>
      <c r="D1453">
        <v>2</v>
      </c>
      <c r="E1453">
        <v>0.97740000000000005</v>
      </c>
      <c r="F1453">
        <v>33.299999999999997</v>
      </c>
      <c r="G1453">
        <v>0.224</v>
      </c>
      <c r="L1453">
        <v>7.0000000000000007E-2</v>
      </c>
      <c r="O1453">
        <v>5</v>
      </c>
    </row>
    <row r="1454" spans="1:15" x14ac:dyDescent="0.2">
      <c r="A1454" t="s">
        <v>60</v>
      </c>
      <c r="B1454">
        <v>5</v>
      </c>
      <c r="C1454" t="s">
        <v>17</v>
      </c>
      <c r="D1454">
        <v>3</v>
      </c>
      <c r="E1454">
        <v>1.1693</v>
      </c>
      <c r="F1454">
        <v>53.1</v>
      </c>
      <c r="G1454">
        <v>0.223</v>
      </c>
      <c r="L1454">
        <v>7.0000000000000007E-2</v>
      </c>
      <c r="O1454">
        <v>5</v>
      </c>
    </row>
    <row r="1455" spans="1:15" x14ac:dyDescent="0.2">
      <c r="A1455" t="s">
        <v>60</v>
      </c>
      <c r="B1455">
        <v>5</v>
      </c>
      <c r="C1455" t="s">
        <v>17</v>
      </c>
      <c r="D1455">
        <v>4</v>
      </c>
      <c r="E1455">
        <v>1.0567</v>
      </c>
      <c r="F1455">
        <v>31.2</v>
      </c>
      <c r="G1455">
        <v>0.16200000000000001</v>
      </c>
      <c r="L1455">
        <v>7.0000000000000007E-2</v>
      </c>
      <c r="O1455">
        <v>5</v>
      </c>
    </row>
    <row r="1456" spans="1:15" x14ac:dyDescent="0.2">
      <c r="A1456" t="s">
        <v>60</v>
      </c>
      <c r="B1456">
        <v>5</v>
      </c>
      <c r="C1456" t="s">
        <v>17</v>
      </c>
      <c r="D1456">
        <v>5</v>
      </c>
      <c r="E1456">
        <v>0.99890000000000001</v>
      </c>
      <c r="F1456">
        <v>54.6</v>
      </c>
      <c r="G1456">
        <v>0.20499999999999999</v>
      </c>
      <c r="L1456">
        <v>7.0000000000000007E-2</v>
      </c>
      <c r="O1456">
        <v>5</v>
      </c>
    </row>
    <row r="1457" spans="1:15" x14ac:dyDescent="0.2">
      <c r="A1457" t="s">
        <v>60</v>
      </c>
      <c r="B1457">
        <v>5</v>
      </c>
      <c r="C1457" t="s">
        <v>17</v>
      </c>
      <c r="D1457">
        <v>6</v>
      </c>
      <c r="E1457">
        <v>1.0881000000000001</v>
      </c>
      <c r="F1457">
        <v>35.299999999999997</v>
      </c>
      <c r="G1457">
        <v>0.16600000000000001</v>
      </c>
      <c r="L1457">
        <v>7.0000000000000007E-2</v>
      </c>
      <c r="O1457">
        <v>5</v>
      </c>
    </row>
    <row r="1458" spans="1:15" x14ac:dyDescent="0.2">
      <c r="A1458" t="s">
        <v>60</v>
      </c>
      <c r="B1458">
        <v>5</v>
      </c>
      <c r="C1458" t="s">
        <v>17</v>
      </c>
      <c r="D1458">
        <v>7</v>
      </c>
      <c r="E1458">
        <v>1.2663</v>
      </c>
      <c r="F1458">
        <v>53.4</v>
      </c>
      <c r="G1458">
        <v>0.222</v>
      </c>
      <c r="L1458">
        <v>7.0000000000000007E-2</v>
      </c>
      <c r="O1458">
        <v>5</v>
      </c>
    </row>
    <row r="1459" spans="1:15" x14ac:dyDescent="0.2">
      <c r="A1459" t="s">
        <v>60</v>
      </c>
      <c r="B1459">
        <v>5</v>
      </c>
      <c r="C1459" t="s">
        <v>17</v>
      </c>
      <c r="D1459">
        <v>8</v>
      </c>
      <c r="E1459">
        <v>1.2428999999999999</v>
      </c>
      <c r="F1459">
        <v>34.200000000000003</v>
      </c>
      <c r="G1459">
        <v>0.20499999999999999</v>
      </c>
      <c r="L1459">
        <v>7.0000000000000007E-2</v>
      </c>
      <c r="O1459">
        <v>5</v>
      </c>
    </row>
    <row r="1460" spans="1:15" x14ac:dyDescent="0.2">
      <c r="A1460" t="s">
        <v>60</v>
      </c>
      <c r="B1460">
        <v>5</v>
      </c>
      <c r="C1460" t="s">
        <v>17</v>
      </c>
      <c r="D1460">
        <v>9</v>
      </c>
      <c r="E1460">
        <v>1.2633000000000001</v>
      </c>
      <c r="F1460">
        <v>54.1</v>
      </c>
      <c r="G1460">
        <v>0.253</v>
      </c>
      <c r="L1460">
        <v>7.0000000000000007E-2</v>
      </c>
      <c r="O1460">
        <v>5</v>
      </c>
    </row>
    <row r="1461" spans="1:15" x14ac:dyDescent="0.2">
      <c r="A1461" t="s">
        <v>60</v>
      </c>
      <c r="B1461">
        <v>5</v>
      </c>
      <c r="C1461" t="s">
        <v>16</v>
      </c>
      <c r="D1461">
        <v>1</v>
      </c>
      <c r="E1461">
        <v>0.55169999999999997</v>
      </c>
      <c r="F1461">
        <v>9.9</v>
      </c>
      <c r="G1461">
        <v>2.9409999999999998</v>
      </c>
      <c r="L1461">
        <v>7.0000000000000007E-2</v>
      </c>
      <c r="O1461">
        <v>5</v>
      </c>
    </row>
    <row r="1462" spans="1:15" x14ac:dyDescent="0.2">
      <c r="A1462" t="s">
        <v>60</v>
      </c>
      <c r="B1462">
        <v>5</v>
      </c>
      <c r="C1462" t="s">
        <v>16</v>
      </c>
      <c r="D1462">
        <v>2</v>
      </c>
      <c r="E1462">
        <v>0.52739999999999998</v>
      </c>
      <c r="F1462">
        <v>6.8</v>
      </c>
      <c r="G1462">
        <v>3.0350000000000001</v>
      </c>
      <c r="L1462">
        <v>7.0000000000000007E-2</v>
      </c>
      <c r="O1462">
        <v>5</v>
      </c>
    </row>
    <row r="1463" spans="1:15" x14ac:dyDescent="0.2">
      <c r="A1463" t="s">
        <v>60</v>
      </c>
      <c r="B1463">
        <v>5</v>
      </c>
      <c r="C1463" t="s">
        <v>16</v>
      </c>
      <c r="D1463">
        <v>3</v>
      </c>
      <c r="E1463">
        <v>0.50829999999999997</v>
      </c>
      <c r="F1463">
        <v>9.6999999999999993</v>
      </c>
      <c r="G1463">
        <v>2.87</v>
      </c>
      <c r="L1463">
        <v>7.0000000000000007E-2</v>
      </c>
      <c r="O1463">
        <v>5</v>
      </c>
    </row>
    <row r="1464" spans="1:15" x14ac:dyDescent="0.2">
      <c r="A1464" t="s">
        <v>60</v>
      </c>
      <c r="B1464">
        <v>5</v>
      </c>
      <c r="C1464" t="s">
        <v>16</v>
      </c>
      <c r="D1464">
        <v>4</v>
      </c>
      <c r="E1464">
        <v>0.71640000000000004</v>
      </c>
      <c r="F1464">
        <v>6.8</v>
      </c>
      <c r="G1464">
        <v>2.742</v>
      </c>
      <c r="L1464">
        <v>7.0000000000000007E-2</v>
      </c>
      <c r="O1464">
        <v>5</v>
      </c>
    </row>
    <row r="1465" spans="1:15" x14ac:dyDescent="0.2">
      <c r="A1465" t="s">
        <v>60</v>
      </c>
      <c r="B1465">
        <v>5</v>
      </c>
      <c r="C1465" t="s">
        <v>16</v>
      </c>
      <c r="D1465">
        <v>5</v>
      </c>
      <c r="E1465">
        <v>0.32990000000000003</v>
      </c>
      <c r="F1465">
        <v>10.4</v>
      </c>
      <c r="G1465">
        <v>2.2370000000000001</v>
      </c>
      <c r="L1465">
        <v>7.0000000000000007E-2</v>
      </c>
      <c r="O1465">
        <v>5</v>
      </c>
    </row>
    <row r="1466" spans="1:15" x14ac:dyDescent="0.2">
      <c r="A1466" t="s">
        <v>60</v>
      </c>
      <c r="B1466">
        <v>5</v>
      </c>
      <c r="C1466" t="s">
        <v>16</v>
      </c>
      <c r="D1466">
        <v>6</v>
      </c>
      <c r="E1466">
        <v>0.2984</v>
      </c>
      <c r="F1466">
        <v>7.5</v>
      </c>
      <c r="G1466">
        <v>1.675</v>
      </c>
      <c r="L1466">
        <v>7.0000000000000007E-2</v>
      </c>
      <c r="O1466">
        <v>5</v>
      </c>
    </row>
    <row r="1467" spans="1:15" x14ac:dyDescent="0.2">
      <c r="A1467" t="s">
        <v>60</v>
      </c>
      <c r="B1467">
        <v>5</v>
      </c>
      <c r="C1467" t="s">
        <v>16</v>
      </c>
      <c r="D1467">
        <v>7</v>
      </c>
      <c r="E1467">
        <v>0.56630000000000003</v>
      </c>
      <c r="F1467">
        <v>9.8000000000000007</v>
      </c>
      <c r="G1467">
        <v>3.8090000000000002</v>
      </c>
      <c r="L1467">
        <v>7.0000000000000007E-2</v>
      </c>
      <c r="O1467">
        <v>5</v>
      </c>
    </row>
    <row r="1468" spans="1:15" x14ac:dyDescent="0.2">
      <c r="A1468" t="s">
        <v>60</v>
      </c>
      <c r="B1468">
        <v>5</v>
      </c>
      <c r="C1468" t="s">
        <v>16</v>
      </c>
      <c r="D1468">
        <v>8</v>
      </c>
      <c r="E1468">
        <v>0.30690000000000001</v>
      </c>
      <c r="F1468">
        <v>7.1</v>
      </c>
      <c r="G1468">
        <v>3.0609999999999999</v>
      </c>
      <c r="L1468">
        <v>7.0000000000000007E-2</v>
      </c>
      <c r="O1468">
        <v>5</v>
      </c>
    </row>
    <row r="1469" spans="1:15" x14ac:dyDescent="0.2">
      <c r="A1469" t="s">
        <v>60</v>
      </c>
      <c r="B1469">
        <v>5</v>
      </c>
      <c r="C1469" t="s">
        <v>16</v>
      </c>
      <c r="D1469">
        <v>9</v>
      </c>
      <c r="E1469">
        <v>0.45069999999999999</v>
      </c>
      <c r="F1469">
        <v>10.199999999999999</v>
      </c>
      <c r="G1469">
        <v>1.6910000000000001</v>
      </c>
      <c r="L1469">
        <v>7.0000000000000007E-2</v>
      </c>
      <c r="O1469">
        <v>5</v>
      </c>
    </row>
    <row r="1470" spans="1:15" x14ac:dyDescent="0.2">
      <c r="A1470" t="s">
        <v>60</v>
      </c>
      <c r="B1470">
        <v>5</v>
      </c>
      <c r="C1470" t="s">
        <v>20</v>
      </c>
      <c r="D1470">
        <v>1</v>
      </c>
      <c r="E1470">
        <v>0.46</v>
      </c>
      <c r="F1470">
        <v>59.7</v>
      </c>
      <c r="G1470">
        <v>2.0379999999999998</v>
      </c>
      <c r="L1470">
        <v>7.0000000000000007E-2</v>
      </c>
      <c r="O1470">
        <v>5</v>
      </c>
    </row>
    <row r="1471" spans="1:15" x14ac:dyDescent="0.2">
      <c r="A1471" t="s">
        <v>60</v>
      </c>
      <c r="B1471">
        <v>5</v>
      </c>
      <c r="C1471" t="s">
        <v>20</v>
      </c>
      <c r="D1471">
        <v>2</v>
      </c>
      <c r="E1471">
        <v>0.51719999999999999</v>
      </c>
      <c r="F1471">
        <v>63.5</v>
      </c>
      <c r="G1471">
        <v>2.2759999999999998</v>
      </c>
      <c r="L1471">
        <v>7.0000000000000007E-2</v>
      </c>
      <c r="O1471">
        <v>5</v>
      </c>
    </row>
    <row r="1472" spans="1:15" x14ac:dyDescent="0.2">
      <c r="A1472" t="s">
        <v>60</v>
      </c>
      <c r="B1472">
        <v>5</v>
      </c>
      <c r="C1472" t="s">
        <v>20</v>
      </c>
      <c r="D1472">
        <v>3</v>
      </c>
      <c r="E1472">
        <v>0.48480000000000001</v>
      </c>
      <c r="F1472">
        <v>70.400000000000006</v>
      </c>
      <c r="G1472">
        <v>2.254</v>
      </c>
      <c r="L1472">
        <v>7.0000000000000007E-2</v>
      </c>
      <c r="O1472">
        <v>5</v>
      </c>
    </row>
    <row r="1473" spans="1:15" x14ac:dyDescent="0.2">
      <c r="A1473" t="s">
        <v>60</v>
      </c>
      <c r="B1473">
        <v>5</v>
      </c>
      <c r="C1473" t="s">
        <v>20</v>
      </c>
      <c r="D1473">
        <v>4</v>
      </c>
      <c r="E1473">
        <v>0.46750000000000003</v>
      </c>
      <c r="F1473">
        <v>64.900000000000006</v>
      </c>
      <c r="G1473">
        <v>0.55100000000000005</v>
      </c>
      <c r="L1473">
        <v>7.0000000000000007E-2</v>
      </c>
      <c r="O1473">
        <v>5</v>
      </c>
    </row>
    <row r="1474" spans="1:15" x14ac:dyDescent="0.2">
      <c r="A1474" t="s">
        <v>60</v>
      </c>
      <c r="B1474">
        <v>5</v>
      </c>
      <c r="C1474" t="s">
        <v>20</v>
      </c>
      <c r="D1474">
        <v>5</v>
      </c>
      <c r="E1474">
        <v>0.56279999999999997</v>
      </c>
      <c r="F1474">
        <v>68.900000000000006</v>
      </c>
      <c r="G1474">
        <v>2.4689999999999999</v>
      </c>
      <c r="L1474">
        <v>7.0000000000000007E-2</v>
      </c>
      <c r="O1474">
        <v>5</v>
      </c>
    </row>
    <row r="1475" spans="1:15" x14ac:dyDescent="0.2">
      <c r="A1475" t="s">
        <v>60</v>
      </c>
      <c r="B1475">
        <v>5</v>
      </c>
      <c r="C1475" t="s">
        <v>20</v>
      </c>
      <c r="D1475">
        <v>6</v>
      </c>
      <c r="E1475">
        <v>0.44619999999999999</v>
      </c>
      <c r="F1475">
        <v>61.9</v>
      </c>
      <c r="G1475">
        <v>1.73</v>
      </c>
      <c r="L1475">
        <v>7.0000000000000007E-2</v>
      </c>
      <c r="O1475">
        <v>5</v>
      </c>
    </row>
    <row r="1476" spans="1:15" x14ac:dyDescent="0.2">
      <c r="A1476" t="s">
        <v>60</v>
      </c>
      <c r="B1476">
        <v>5</v>
      </c>
      <c r="C1476" t="s">
        <v>20</v>
      </c>
      <c r="D1476">
        <v>7</v>
      </c>
      <c r="E1476">
        <v>0.3931</v>
      </c>
      <c r="F1476">
        <v>66.099999999999994</v>
      </c>
      <c r="G1476">
        <v>1.1279999999999999</v>
      </c>
      <c r="L1476">
        <v>7.0000000000000007E-2</v>
      </c>
      <c r="O1476">
        <v>5</v>
      </c>
    </row>
    <row r="1477" spans="1:15" x14ac:dyDescent="0.2">
      <c r="A1477" t="s">
        <v>60</v>
      </c>
      <c r="B1477">
        <v>5</v>
      </c>
      <c r="C1477" t="s">
        <v>20</v>
      </c>
      <c r="D1477">
        <v>8</v>
      </c>
      <c r="E1477">
        <v>0.33660000000000001</v>
      </c>
      <c r="F1477">
        <v>59.1</v>
      </c>
      <c r="G1477">
        <v>0.68200000000000005</v>
      </c>
      <c r="L1477">
        <v>7.0000000000000007E-2</v>
      </c>
      <c r="O1477">
        <v>5</v>
      </c>
    </row>
    <row r="1478" spans="1:15" x14ac:dyDescent="0.2">
      <c r="A1478" t="s">
        <v>60</v>
      </c>
      <c r="B1478">
        <v>5</v>
      </c>
      <c r="C1478" t="s">
        <v>20</v>
      </c>
      <c r="D1478">
        <v>9</v>
      </c>
      <c r="E1478">
        <v>0.34079999999999999</v>
      </c>
      <c r="F1478">
        <v>67</v>
      </c>
      <c r="G1478">
        <v>0.40799999999999997</v>
      </c>
      <c r="L1478">
        <v>7.0000000000000007E-2</v>
      </c>
      <c r="O1478">
        <v>5</v>
      </c>
    </row>
    <row r="1479" spans="1:15" x14ac:dyDescent="0.2">
      <c r="A1479" t="s">
        <v>60</v>
      </c>
      <c r="B1479">
        <v>5</v>
      </c>
      <c r="C1479" t="s">
        <v>13</v>
      </c>
      <c r="D1479">
        <v>1</v>
      </c>
      <c r="E1479">
        <v>2.8997000000000002</v>
      </c>
      <c r="F1479">
        <v>13.4</v>
      </c>
      <c r="G1479">
        <v>0.29399999999999998</v>
      </c>
      <c r="L1479">
        <v>7.0000000000000007E-2</v>
      </c>
      <c r="O1479">
        <v>15</v>
      </c>
    </row>
    <row r="1480" spans="1:15" x14ac:dyDescent="0.2">
      <c r="A1480" t="s">
        <v>60</v>
      </c>
      <c r="B1480">
        <v>5</v>
      </c>
      <c r="C1480" t="s">
        <v>13</v>
      </c>
      <c r="D1480">
        <v>2</v>
      </c>
      <c r="E1480">
        <v>2.8222</v>
      </c>
      <c r="F1480">
        <v>11.1</v>
      </c>
      <c r="G1480">
        <v>0.28899999999999998</v>
      </c>
      <c r="L1480">
        <v>7.0000000000000007E-2</v>
      </c>
      <c r="O1480">
        <v>15</v>
      </c>
    </row>
    <row r="1481" spans="1:15" x14ac:dyDescent="0.2">
      <c r="A1481" t="s">
        <v>60</v>
      </c>
      <c r="B1481">
        <v>5</v>
      </c>
      <c r="C1481" t="s">
        <v>13</v>
      </c>
      <c r="D1481">
        <v>3</v>
      </c>
      <c r="E1481">
        <v>0.73780000000000001</v>
      </c>
      <c r="F1481">
        <v>13.3</v>
      </c>
      <c r="G1481">
        <v>0.17599999999999999</v>
      </c>
      <c r="L1481">
        <v>7.0000000000000007E-2</v>
      </c>
      <c r="O1481">
        <v>15</v>
      </c>
    </row>
    <row r="1482" spans="1:15" x14ac:dyDescent="0.2">
      <c r="A1482" t="s">
        <v>60</v>
      </c>
      <c r="B1482">
        <v>5</v>
      </c>
      <c r="C1482" t="s">
        <v>13</v>
      </c>
      <c r="D1482">
        <v>4</v>
      </c>
      <c r="E1482">
        <v>2.8963000000000001</v>
      </c>
      <c r="F1482">
        <v>10.199999999999999</v>
      </c>
      <c r="G1482">
        <v>0.218</v>
      </c>
      <c r="L1482">
        <v>7.0000000000000007E-2</v>
      </c>
      <c r="O1482">
        <v>15</v>
      </c>
    </row>
    <row r="1483" spans="1:15" x14ac:dyDescent="0.2">
      <c r="A1483" t="s">
        <v>60</v>
      </c>
      <c r="B1483">
        <v>5</v>
      </c>
      <c r="C1483" t="s">
        <v>13</v>
      </c>
      <c r="D1483">
        <v>5</v>
      </c>
      <c r="E1483">
        <v>1.0383</v>
      </c>
      <c r="F1483">
        <v>14.6</v>
      </c>
      <c r="G1483">
        <v>0.189</v>
      </c>
      <c r="L1483">
        <v>7.0000000000000007E-2</v>
      </c>
      <c r="O1483">
        <v>15</v>
      </c>
    </row>
    <row r="1484" spans="1:15" x14ac:dyDescent="0.2">
      <c r="A1484" t="s">
        <v>60</v>
      </c>
      <c r="B1484">
        <v>5</v>
      </c>
      <c r="C1484" t="s">
        <v>13</v>
      </c>
      <c r="D1484">
        <v>6</v>
      </c>
      <c r="E1484">
        <v>2.9887999999999999</v>
      </c>
      <c r="F1484">
        <v>11.2</v>
      </c>
      <c r="G1484">
        <v>0.26900000000000002</v>
      </c>
      <c r="L1484">
        <v>7.0000000000000007E-2</v>
      </c>
      <c r="O1484">
        <v>15</v>
      </c>
    </row>
    <row r="1485" spans="1:15" x14ac:dyDescent="0.2">
      <c r="A1485" t="s">
        <v>60</v>
      </c>
      <c r="B1485">
        <v>5</v>
      </c>
      <c r="C1485" t="s">
        <v>13</v>
      </c>
      <c r="D1485">
        <v>7</v>
      </c>
      <c r="E1485">
        <v>0.82530000000000003</v>
      </c>
      <c r="F1485">
        <v>14</v>
      </c>
      <c r="G1485">
        <v>0.11700000000000001</v>
      </c>
      <c r="L1485">
        <v>7.0000000000000007E-2</v>
      </c>
      <c r="O1485">
        <v>15</v>
      </c>
    </row>
    <row r="1486" spans="1:15" x14ac:dyDescent="0.2">
      <c r="A1486" t="s">
        <v>60</v>
      </c>
      <c r="B1486">
        <v>5</v>
      </c>
      <c r="C1486" t="s">
        <v>13</v>
      </c>
      <c r="D1486">
        <v>8</v>
      </c>
      <c r="E1486">
        <v>0.79010000000000002</v>
      </c>
      <c r="F1486">
        <v>11</v>
      </c>
      <c r="G1486">
        <v>0.20699999999999999</v>
      </c>
      <c r="L1486">
        <v>7.0000000000000007E-2</v>
      </c>
      <c r="O1486">
        <v>15</v>
      </c>
    </row>
    <row r="1487" spans="1:15" x14ac:dyDescent="0.2">
      <c r="A1487" t="s">
        <v>60</v>
      </c>
      <c r="B1487">
        <v>5</v>
      </c>
      <c r="C1487" t="s">
        <v>13</v>
      </c>
      <c r="D1487">
        <v>9</v>
      </c>
      <c r="E1487">
        <v>0.78310000000000002</v>
      </c>
      <c r="F1487">
        <v>15.3</v>
      </c>
      <c r="G1487">
        <v>0.19400000000000001</v>
      </c>
      <c r="L1487">
        <v>7.0000000000000007E-2</v>
      </c>
      <c r="O1487">
        <v>15</v>
      </c>
    </row>
    <row r="1488" spans="1:15" x14ac:dyDescent="0.2">
      <c r="A1488" t="s">
        <v>60</v>
      </c>
      <c r="B1488">
        <v>5</v>
      </c>
      <c r="C1488" t="s">
        <v>19</v>
      </c>
      <c r="D1488">
        <v>1</v>
      </c>
      <c r="E1488">
        <v>0.68289999999999995</v>
      </c>
      <c r="F1488">
        <v>14.6</v>
      </c>
      <c r="G1488">
        <v>1.4E-2</v>
      </c>
      <c r="L1488">
        <v>7.0000000000000007E-2</v>
      </c>
      <c r="O1488">
        <v>5</v>
      </c>
    </row>
    <row r="1489" spans="1:15" x14ac:dyDescent="0.2">
      <c r="A1489" t="s">
        <v>60</v>
      </c>
      <c r="B1489">
        <v>5</v>
      </c>
      <c r="C1489" t="s">
        <v>19</v>
      </c>
      <c r="D1489">
        <v>2</v>
      </c>
      <c r="E1489">
        <v>0.70850000000000002</v>
      </c>
      <c r="F1489">
        <v>15.3</v>
      </c>
      <c r="G1489">
        <v>1.6E-2</v>
      </c>
      <c r="L1489">
        <v>7.0000000000000007E-2</v>
      </c>
      <c r="O1489">
        <v>5</v>
      </c>
    </row>
    <row r="1490" spans="1:15" x14ac:dyDescent="0.2">
      <c r="A1490" t="s">
        <v>60</v>
      </c>
      <c r="B1490">
        <v>5</v>
      </c>
      <c r="C1490" t="s">
        <v>19</v>
      </c>
      <c r="D1490">
        <v>3</v>
      </c>
      <c r="E1490">
        <v>0.68720000000000003</v>
      </c>
      <c r="F1490">
        <v>15.5</v>
      </c>
      <c r="G1490">
        <v>2.4E-2</v>
      </c>
      <c r="L1490">
        <v>7.0000000000000007E-2</v>
      </c>
      <c r="O1490">
        <v>5</v>
      </c>
    </row>
    <row r="1491" spans="1:15" x14ac:dyDescent="0.2">
      <c r="A1491" t="s">
        <v>60</v>
      </c>
      <c r="B1491">
        <v>5</v>
      </c>
      <c r="C1491" t="s">
        <v>19</v>
      </c>
      <c r="D1491">
        <v>4</v>
      </c>
      <c r="E1491">
        <v>0.47460000000000002</v>
      </c>
      <c r="F1491">
        <v>14.7</v>
      </c>
      <c r="G1491">
        <v>0.01</v>
      </c>
      <c r="L1491">
        <v>7.0000000000000007E-2</v>
      </c>
      <c r="O1491">
        <v>5</v>
      </c>
    </row>
    <row r="1492" spans="1:15" x14ac:dyDescent="0.2">
      <c r="A1492" t="s">
        <v>60</v>
      </c>
      <c r="B1492">
        <v>5</v>
      </c>
      <c r="C1492" t="s">
        <v>19</v>
      </c>
      <c r="D1492">
        <v>5</v>
      </c>
      <c r="E1492">
        <v>0.58479999999999999</v>
      </c>
      <c r="F1492">
        <v>14.2</v>
      </c>
      <c r="G1492">
        <v>1.2E-2</v>
      </c>
      <c r="L1492">
        <v>7.0000000000000007E-2</v>
      </c>
      <c r="O1492">
        <v>5</v>
      </c>
    </row>
    <row r="1493" spans="1:15" x14ac:dyDescent="0.2">
      <c r="A1493" t="s">
        <v>60</v>
      </c>
      <c r="B1493">
        <v>5</v>
      </c>
      <c r="C1493" t="s">
        <v>19</v>
      </c>
      <c r="D1493">
        <v>6</v>
      </c>
      <c r="E1493">
        <v>0.57530000000000003</v>
      </c>
      <c r="F1493">
        <v>13.6</v>
      </c>
      <c r="G1493">
        <v>1.4E-2</v>
      </c>
      <c r="L1493">
        <v>7.0000000000000007E-2</v>
      </c>
      <c r="O1493">
        <v>5</v>
      </c>
    </row>
    <row r="1494" spans="1:15" x14ac:dyDescent="0.2">
      <c r="A1494" t="s">
        <v>60</v>
      </c>
      <c r="B1494">
        <v>5</v>
      </c>
      <c r="C1494" t="s">
        <v>19</v>
      </c>
      <c r="D1494">
        <v>7</v>
      </c>
      <c r="E1494">
        <v>0.76880000000000004</v>
      </c>
      <c r="F1494">
        <v>15</v>
      </c>
      <c r="G1494">
        <v>1.4999999999999999E-2</v>
      </c>
      <c r="L1494">
        <v>7.0000000000000007E-2</v>
      </c>
      <c r="O1494">
        <v>5</v>
      </c>
    </row>
    <row r="1495" spans="1:15" x14ac:dyDescent="0.2">
      <c r="A1495" t="s">
        <v>60</v>
      </c>
      <c r="B1495">
        <v>5</v>
      </c>
      <c r="C1495" t="s">
        <v>19</v>
      </c>
      <c r="D1495">
        <v>8</v>
      </c>
      <c r="E1495">
        <v>0.68410000000000004</v>
      </c>
      <c r="F1495">
        <v>13.8</v>
      </c>
      <c r="G1495">
        <v>1.4999999999999999E-2</v>
      </c>
      <c r="L1495">
        <v>7.0000000000000007E-2</v>
      </c>
      <c r="O1495">
        <v>5</v>
      </c>
    </row>
    <row r="1496" spans="1:15" x14ac:dyDescent="0.2">
      <c r="A1496" t="s">
        <v>60</v>
      </c>
      <c r="B1496">
        <v>5</v>
      </c>
      <c r="C1496" t="s">
        <v>19</v>
      </c>
      <c r="D1496">
        <v>9</v>
      </c>
      <c r="E1496">
        <v>1E-3</v>
      </c>
      <c r="F1496">
        <v>0</v>
      </c>
      <c r="G1496">
        <v>1E-3</v>
      </c>
      <c r="L1496">
        <v>7.0000000000000007E-2</v>
      </c>
      <c r="O1496">
        <v>5</v>
      </c>
    </row>
    <row r="1497" spans="1:15" x14ac:dyDescent="0.2">
      <c r="A1497" t="s">
        <v>60</v>
      </c>
      <c r="B1497">
        <v>5</v>
      </c>
      <c r="C1497" t="s">
        <v>15</v>
      </c>
      <c r="D1497">
        <v>1</v>
      </c>
      <c r="E1497">
        <v>0.36049999999999999</v>
      </c>
      <c r="F1497">
        <v>41</v>
      </c>
      <c r="G1497">
        <v>0.83899999999999997</v>
      </c>
      <c r="L1497">
        <v>7.0000000000000007E-2</v>
      </c>
      <c r="O1497">
        <v>5</v>
      </c>
    </row>
    <row r="1498" spans="1:15" x14ac:dyDescent="0.2">
      <c r="A1498" t="s">
        <v>60</v>
      </c>
      <c r="B1498">
        <v>5</v>
      </c>
      <c r="C1498" t="s">
        <v>15</v>
      </c>
      <c r="D1498">
        <v>2</v>
      </c>
      <c r="E1498">
        <v>0.36099999999999999</v>
      </c>
      <c r="F1498">
        <v>43.6</v>
      </c>
      <c r="G1498">
        <v>1.825</v>
      </c>
      <c r="L1498">
        <v>7.0000000000000007E-2</v>
      </c>
      <c r="O1498">
        <v>5</v>
      </c>
    </row>
    <row r="1499" spans="1:15" x14ac:dyDescent="0.2">
      <c r="A1499" t="s">
        <v>60</v>
      </c>
      <c r="B1499">
        <v>5</v>
      </c>
      <c r="C1499" t="s">
        <v>15</v>
      </c>
      <c r="D1499">
        <v>3</v>
      </c>
      <c r="E1499">
        <v>0.36520000000000002</v>
      </c>
      <c r="F1499">
        <v>37.5</v>
      </c>
      <c r="G1499">
        <v>0.96899999999999997</v>
      </c>
      <c r="L1499">
        <v>7.0000000000000007E-2</v>
      </c>
      <c r="O1499">
        <v>5</v>
      </c>
    </row>
    <row r="1500" spans="1:15" x14ac:dyDescent="0.2">
      <c r="A1500" t="s">
        <v>60</v>
      </c>
      <c r="B1500">
        <v>5</v>
      </c>
      <c r="C1500" t="s">
        <v>15</v>
      </c>
      <c r="D1500">
        <v>4</v>
      </c>
      <c r="E1500">
        <v>0.3397</v>
      </c>
      <c r="F1500">
        <v>39.9</v>
      </c>
      <c r="G1500">
        <v>0.46400000000000002</v>
      </c>
      <c r="L1500">
        <v>7.0000000000000007E-2</v>
      </c>
      <c r="O1500">
        <v>5</v>
      </c>
    </row>
    <row r="1501" spans="1:15" x14ac:dyDescent="0.2">
      <c r="A1501" t="s">
        <v>60</v>
      </c>
      <c r="B1501">
        <v>5</v>
      </c>
      <c r="C1501" t="s">
        <v>15</v>
      </c>
      <c r="D1501">
        <v>5</v>
      </c>
      <c r="E1501">
        <v>0.37259999999999999</v>
      </c>
      <c r="F1501">
        <v>43.7</v>
      </c>
      <c r="G1501">
        <v>1.5680000000000001</v>
      </c>
      <c r="L1501">
        <v>7.0000000000000007E-2</v>
      </c>
      <c r="O1501">
        <v>5</v>
      </c>
    </row>
    <row r="1502" spans="1:15" x14ac:dyDescent="0.2">
      <c r="A1502" t="s">
        <v>60</v>
      </c>
      <c r="B1502">
        <v>5</v>
      </c>
      <c r="C1502" t="s">
        <v>15</v>
      </c>
      <c r="D1502">
        <v>6</v>
      </c>
      <c r="E1502">
        <v>0.3745</v>
      </c>
      <c r="F1502">
        <v>38.5</v>
      </c>
      <c r="G1502">
        <v>0.71499999999999997</v>
      </c>
      <c r="L1502">
        <v>7.0000000000000007E-2</v>
      </c>
      <c r="O1502">
        <v>5</v>
      </c>
    </row>
    <row r="1503" spans="1:15" x14ac:dyDescent="0.2">
      <c r="A1503" t="s">
        <v>60</v>
      </c>
      <c r="B1503">
        <v>5</v>
      </c>
      <c r="C1503" t="s">
        <v>15</v>
      </c>
      <c r="D1503">
        <v>7</v>
      </c>
      <c r="E1503">
        <v>0.39510000000000001</v>
      </c>
      <c r="F1503">
        <v>39.799999999999997</v>
      </c>
      <c r="G1503">
        <v>0.77100000000000002</v>
      </c>
      <c r="L1503">
        <v>7.0000000000000007E-2</v>
      </c>
      <c r="O1503">
        <v>5</v>
      </c>
    </row>
    <row r="1504" spans="1:15" x14ac:dyDescent="0.2">
      <c r="A1504" t="s">
        <v>60</v>
      </c>
      <c r="B1504">
        <v>5</v>
      </c>
      <c r="C1504" t="s">
        <v>15</v>
      </c>
      <c r="D1504">
        <v>8</v>
      </c>
      <c r="E1504">
        <v>0.42130000000000001</v>
      </c>
      <c r="F1504">
        <v>41.8</v>
      </c>
      <c r="G1504">
        <v>1.1890000000000001</v>
      </c>
      <c r="L1504">
        <v>7.0000000000000007E-2</v>
      </c>
      <c r="O1504">
        <v>5</v>
      </c>
    </row>
    <row r="1505" spans="1:15" x14ac:dyDescent="0.2">
      <c r="A1505" t="s">
        <v>60</v>
      </c>
      <c r="B1505">
        <v>5</v>
      </c>
      <c r="C1505" t="s">
        <v>15</v>
      </c>
      <c r="D1505">
        <v>9</v>
      </c>
      <c r="E1505">
        <v>0.38990000000000002</v>
      </c>
      <c r="F1505">
        <v>38.700000000000003</v>
      </c>
      <c r="G1505">
        <v>0.76300000000000001</v>
      </c>
      <c r="L1505">
        <v>7.0000000000000007E-2</v>
      </c>
      <c r="O1505">
        <v>5</v>
      </c>
    </row>
    <row r="1506" spans="1:15" x14ac:dyDescent="0.2">
      <c r="A1506" t="s">
        <v>60</v>
      </c>
      <c r="B1506">
        <v>6</v>
      </c>
      <c r="C1506" t="s">
        <v>21</v>
      </c>
      <c r="D1506">
        <v>1</v>
      </c>
      <c r="E1506">
        <v>0.18</v>
      </c>
      <c r="F1506">
        <v>12.5</v>
      </c>
      <c r="G1506">
        <v>3.0000000000000001E-3</v>
      </c>
      <c r="L1506">
        <v>0.03</v>
      </c>
      <c r="O1506">
        <v>5</v>
      </c>
    </row>
    <row r="1507" spans="1:15" x14ac:dyDescent="0.2">
      <c r="A1507" t="s">
        <v>60</v>
      </c>
      <c r="B1507">
        <v>6</v>
      </c>
      <c r="C1507" t="s">
        <v>21</v>
      </c>
      <c r="D1507">
        <v>2</v>
      </c>
      <c r="E1507">
        <v>0.22869999999999999</v>
      </c>
      <c r="F1507">
        <v>12</v>
      </c>
      <c r="G1507">
        <v>3.1E-2</v>
      </c>
      <c r="L1507">
        <v>0.03</v>
      </c>
      <c r="O1507">
        <v>5</v>
      </c>
    </row>
    <row r="1508" spans="1:15" x14ac:dyDescent="0.2">
      <c r="A1508" t="s">
        <v>60</v>
      </c>
      <c r="B1508">
        <v>6</v>
      </c>
      <c r="C1508" t="s">
        <v>21</v>
      </c>
      <c r="D1508">
        <v>3</v>
      </c>
      <c r="E1508">
        <v>0.28660000000000002</v>
      </c>
      <c r="F1508">
        <v>13.6</v>
      </c>
      <c r="G1508">
        <v>4.0000000000000001E-3</v>
      </c>
      <c r="L1508">
        <v>0.03</v>
      </c>
      <c r="O1508">
        <v>5</v>
      </c>
    </row>
    <row r="1509" spans="1:15" x14ac:dyDescent="0.2">
      <c r="A1509" t="s">
        <v>60</v>
      </c>
      <c r="B1509">
        <v>6</v>
      </c>
      <c r="C1509" t="s">
        <v>21</v>
      </c>
      <c r="D1509">
        <v>4</v>
      </c>
      <c r="E1509">
        <v>0.19989999999999999</v>
      </c>
      <c r="F1509">
        <v>11.4</v>
      </c>
      <c r="G1509">
        <v>3.0000000000000001E-3</v>
      </c>
      <c r="L1509">
        <v>0.03</v>
      </c>
      <c r="O1509">
        <v>5</v>
      </c>
    </row>
    <row r="1510" spans="1:15" x14ac:dyDescent="0.2">
      <c r="A1510" t="s">
        <v>60</v>
      </c>
      <c r="B1510">
        <v>6</v>
      </c>
      <c r="C1510" t="s">
        <v>21</v>
      </c>
      <c r="D1510">
        <v>5</v>
      </c>
      <c r="E1510">
        <v>0.21870000000000001</v>
      </c>
      <c r="F1510">
        <v>13.1</v>
      </c>
      <c r="G1510">
        <v>4.0000000000000001E-3</v>
      </c>
      <c r="L1510">
        <v>0.03</v>
      </c>
      <c r="O1510">
        <v>5</v>
      </c>
    </row>
    <row r="1511" spans="1:15" x14ac:dyDescent="0.2">
      <c r="A1511" t="s">
        <v>60</v>
      </c>
      <c r="B1511">
        <v>6</v>
      </c>
      <c r="C1511" t="s">
        <v>21</v>
      </c>
      <c r="D1511">
        <v>6</v>
      </c>
      <c r="E1511">
        <v>0.21479999999999999</v>
      </c>
      <c r="F1511">
        <v>10.6</v>
      </c>
      <c r="G1511">
        <v>5.0000000000000001E-3</v>
      </c>
      <c r="L1511">
        <v>0.03</v>
      </c>
      <c r="O1511">
        <v>5</v>
      </c>
    </row>
    <row r="1512" spans="1:15" x14ac:dyDescent="0.2">
      <c r="A1512" t="s">
        <v>60</v>
      </c>
      <c r="B1512">
        <v>6</v>
      </c>
      <c r="C1512" t="s">
        <v>21</v>
      </c>
      <c r="D1512">
        <v>7</v>
      </c>
      <c r="E1512">
        <v>0.1759</v>
      </c>
      <c r="F1512">
        <v>12.7</v>
      </c>
      <c r="G1512">
        <v>4.0000000000000001E-3</v>
      </c>
      <c r="L1512">
        <v>0.03</v>
      </c>
      <c r="O1512">
        <v>5</v>
      </c>
    </row>
    <row r="1513" spans="1:15" x14ac:dyDescent="0.2">
      <c r="A1513" t="s">
        <v>60</v>
      </c>
      <c r="B1513">
        <v>6</v>
      </c>
      <c r="C1513" t="s">
        <v>21</v>
      </c>
      <c r="D1513">
        <v>8</v>
      </c>
      <c r="E1513">
        <v>0.18640000000000001</v>
      </c>
      <c r="F1513">
        <v>11.5</v>
      </c>
      <c r="G1513">
        <v>5.0000000000000001E-3</v>
      </c>
      <c r="L1513">
        <v>0.03</v>
      </c>
      <c r="O1513">
        <v>5</v>
      </c>
    </row>
    <row r="1514" spans="1:15" x14ac:dyDescent="0.2">
      <c r="A1514" t="s">
        <v>60</v>
      </c>
      <c r="B1514">
        <v>6</v>
      </c>
      <c r="C1514" t="s">
        <v>21</v>
      </c>
      <c r="D1514">
        <v>9</v>
      </c>
      <c r="E1514">
        <v>0.1454</v>
      </c>
      <c r="F1514">
        <v>12.1</v>
      </c>
      <c r="G1514">
        <v>3.0000000000000001E-3</v>
      </c>
      <c r="L1514">
        <v>0.03</v>
      </c>
      <c r="O1514">
        <v>5</v>
      </c>
    </row>
    <row r="1515" spans="1:15" x14ac:dyDescent="0.2">
      <c r="A1515" t="s">
        <v>60</v>
      </c>
      <c r="B1515">
        <v>6</v>
      </c>
      <c r="C1515" t="s">
        <v>16</v>
      </c>
      <c r="D1515">
        <v>1</v>
      </c>
      <c r="E1515">
        <v>1.2876000000000001</v>
      </c>
      <c r="F1515">
        <v>4.0999999999999996</v>
      </c>
      <c r="G1515">
        <v>0.92200000000000004</v>
      </c>
      <c r="L1515">
        <v>0.03</v>
      </c>
      <c r="O1515">
        <v>5</v>
      </c>
    </row>
    <row r="1516" spans="1:15" x14ac:dyDescent="0.2">
      <c r="A1516" t="s">
        <v>60</v>
      </c>
      <c r="B1516">
        <v>6</v>
      </c>
      <c r="C1516" t="s">
        <v>16</v>
      </c>
      <c r="D1516">
        <v>2</v>
      </c>
      <c r="E1516">
        <v>0.91149999999999998</v>
      </c>
      <c r="F1516">
        <v>3.5</v>
      </c>
      <c r="G1516">
        <v>0.60099999999999998</v>
      </c>
      <c r="L1516">
        <v>0.03</v>
      </c>
      <c r="O1516">
        <v>5</v>
      </c>
    </row>
    <row r="1517" spans="1:15" x14ac:dyDescent="0.2">
      <c r="A1517" t="s">
        <v>60</v>
      </c>
      <c r="B1517">
        <v>6</v>
      </c>
      <c r="C1517" t="s">
        <v>16</v>
      </c>
      <c r="D1517">
        <v>3</v>
      </c>
      <c r="E1517">
        <v>1.5422</v>
      </c>
      <c r="F1517">
        <v>4.2</v>
      </c>
      <c r="G1517">
        <v>0.79200000000000004</v>
      </c>
      <c r="L1517">
        <v>0.03</v>
      </c>
      <c r="O1517">
        <v>5</v>
      </c>
    </row>
    <row r="1518" spans="1:15" x14ac:dyDescent="0.2">
      <c r="A1518" t="s">
        <v>60</v>
      </c>
      <c r="B1518">
        <v>6</v>
      </c>
      <c r="C1518" t="s">
        <v>16</v>
      </c>
      <c r="D1518">
        <v>4</v>
      </c>
      <c r="E1518">
        <v>1.0221</v>
      </c>
      <c r="F1518">
        <v>3.6</v>
      </c>
      <c r="G1518">
        <v>0.32300000000000001</v>
      </c>
      <c r="L1518">
        <v>0.03</v>
      </c>
      <c r="O1518">
        <v>5</v>
      </c>
    </row>
    <row r="1519" spans="1:15" x14ac:dyDescent="0.2">
      <c r="A1519" t="s">
        <v>60</v>
      </c>
      <c r="B1519">
        <v>6</v>
      </c>
      <c r="C1519" t="s">
        <v>16</v>
      </c>
      <c r="D1519">
        <v>5</v>
      </c>
      <c r="E1519">
        <v>0.87160000000000004</v>
      </c>
      <c r="F1519">
        <v>4.3</v>
      </c>
      <c r="G1519">
        <v>0.49099999999999999</v>
      </c>
      <c r="L1519">
        <v>0.03</v>
      </c>
      <c r="O1519">
        <v>5</v>
      </c>
    </row>
    <row r="1520" spans="1:15" x14ac:dyDescent="0.2">
      <c r="A1520" t="s">
        <v>60</v>
      </c>
      <c r="B1520">
        <v>6</v>
      </c>
      <c r="C1520" t="s">
        <v>16</v>
      </c>
      <c r="D1520">
        <v>6</v>
      </c>
      <c r="E1520">
        <v>1.7113</v>
      </c>
      <c r="F1520">
        <v>3.2</v>
      </c>
      <c r="G1520">
        <v>0.86899999999999999</v>
      </c>
      <c r="L1520">
        <v>0.03</v>
      </c>
      <c r="O1520">
        <v>5</v>
      </c>
    </row>
    <row r="1521" spans="1:15" x14ac:dyDescent="0.2">
      <c r="A1521" t="s">
        <v>60</v>
      </c>
      <c r="B1521">
        <v>6</v>
      </c>
      <c r="C1521" t="s">
        <v>16</v>
      </c>
      <c r="D1521">
        <v>7</v>
      </c>
      <c r="E1521">
        <v>1.2701</v>
      </c>
      <c r="F1521">
        <v>4.0999999999999996</v>
      </c>
      <c r="G1521">
        <v>0.86399999999999999</v>
      </c>
      <c r="L1521">
        <v>0.03</v>
      </c>
      <c r="O1521">
        <v>5</v>
      </c>
    </row>
    <row r="1522" spans="1:15" x14ac:dyDescent="0.2">
      <c r="A1522" t="s">
        <v>60</v>
      </c>
      <c r="B1522">
        <v>6</v>
      </c>
      <c r="C1522" t="s">
        <v>16</v>
      </c>
      <c r="D1522">
        <v>8</v>
      </c>
      <c r="E1522">
        <v>0.87270000000000003</v>
      </c>
      <c r="F1522">
        <v>4.0999999999999996</v>
      </c>
      <c r="G1522">
        <v>0.26800000000000002</v>
      </c>
      <c r="L1522">
        <v>0.03</v>
      </c>
      <c r="O1522">
        <v>5</v>
      </c>
    </row>
    <row r="1523" spans="1:15" x14ac:dyDescent="0.2">
      <c r="A1523" t="s">
        <v>60</v>
      </c>
      <c r="B1523">
        <v>6</v>
      </c>
      <c r="C1523" t="s">
        <v>16</v>
      </c>
      <c r="D1523">
        <v>9</v>
      </c>
      <c r="E1523">
        <v>0.8619</v>
      </c>
      <c r="F1523">
        <v>4.4000000000000004</v>
      </c>
      <c r="G1523">
        <v>0.35</v>
      </c>
      <c r="L1523">
        <v>0.03</v>
      </c>
      <c r="O1523">
        <v>5</v>
      </c>
    </row>
    <row r="1524" spans="1:15" x14ac:dyDescent="0.2">
      <c r="A1524" t="s">
        <v>60</v>
      </c>
      <c r="B1524">
        <v>6</v>
      </c>
      <c r="C1524" t="s">
        <v>13</v>
      </c>
      <c r="D1524">
        <v>1</v>
      </c>
      <c r="E1524">
        <v>2.7219000000000002</v>
      </c>
      <c r="F1524">
        <v>10.1</v>
      </c>
      <c r="G1524">
        <v>0.38400000000000001</v>
      </c>
      <c r="L1524">
        <v>0.03</v>
      </c>
      <c r="O1524">
        <v>10</v>
      </c>
    </row>
    <row r="1525" spans="1:15" x14ac:dyDescent="0.2">
      <c r="A1525" t="s">
        <v>60</v>
      </c>
      <c r="B1525">
        <v>6</v>
      </c>
      <c r="C1525" t="s">
        <v>13</v>
      </c>
      <c r="D1525">
        <v>2</v>
      </c>
      <c r="E1525">
        <v>2.2890000000000001</v>
      </c>
      <c r="F1525">
        <v>16.399999999999999</v>
      </c>
      <c r="G1525">
        <v>0.17399999999999999</v>
      </c>
      <c r="L1525">
        <v>0.03</v>
      </c>
      <c r="O1525">
        <v>10</v>
      </c>
    </row>
    <row r="1526" spans="1:15" x14ac:dyDescent="0.2">
      <c r="A1526" t="s">
        <v>60</v>
      </c>
      <c r="B1526">
        <v>6</v>
      </c>
      <c r="C1526" t="s">
        <v>13</v>
      </c>
      <c r="D1526">
        <v>3</v>
      </c>
      <c r="E1526">
        <v>2.6200999999999999</v>
      </c>
      <c r="F1526">
        <v>4.0999999999999996</v>
      </c>
      <c r="G1526">
        <v>0.23100000000000001</v>
      </c>
      <c r="L1526">
        <v>0.03</v>
      </c>
      <c r="O1526">
        <v>10</v>
      </c>
    </row>
    <row r="1527" spans="1:15" x14ac:dyDescent="0.2">
      <c r="A1527" t="s">
        <v>60</v>
      </c>
      <c r="B1527">
        <v>6</v>
      </c>
      <c r="C1527" t="s">
        <v>13</v>
      </c>
      <c r="D1527">
        <v>4</v>
      </c>
      <c r="E1527">
        <v>2.8864000000000001</v>
      </c>
      <c r="F1527">
        <v>6.1</v>
      </c>
      <c r="G1527">
        <v>0.28299999999999997</v>
      </c>
      <c r="L1527">
        <v>0.03</v>
      </c>
      <c r="O1527">
        <v>10</v>
      </c>
    </row>
    <row r="1528" spans="1:15" x14ac:dyDescent="0.2">
      <c r="A1528" t="s">
        <v>60</v>
      </c>
      <c r="B1528">
        <v>6</v>
      </c>
      <c r="C1528" t="s">
        <v>13</v>
      </c>
      <c r="D1528">
        <v>5</v>
      </c>
      <c r="E1528">
        <v>2.2606000000000002</v>
      </c>
      <c r="F1528">
        <v>16.899999999999999</v>
      </c>
      <c r="G1528">
        <v>0.189</v>
      </c>
      <c r="L1528">
        <v>0.03</v>
      </c>
      <c r="O1528">
        <v>10</v>
      </c>
    </row>
    <row r="1529" spans="1:15" x14ac:dyDescent="0.2">
      <c r="A1529" t="s">
        <v>60</v>
      </c>
      <c r="B1529">
        <v>6</v>
      </c>
      <c r="C1529" t="s">
        <v>13</v>
      </c>
      <c r="D1529">
        <v>6</v>
      </c>
      <c r="E1529">
        <v>2.7511000000000001</v>
      </c>
      <c r="F1529">
        <v>7.3</v>
      </c>
      <c r="G1529">
        <v>0.218</v>
      </c>
      <c r="L1529">
        <v>0.03</v>
      </c>
      <c r="O1529">
        <v>10</v>
      </c>
    </row>
    <row r="1530" spans="1:15" x14ac:dyDescent="0.2">
      <c r="A1530" t="s">
        <v>60</v>
      </c>
      <c r="B1530">
        <v>6</v>
      </c>
      <c r="C1530" t="s">
        <v>13</v>
      </c>
      <c r="D1530">
        <v>7</v>
      </c>
      <c r="E1530">
        <v>3.3388</v>
      </c>
      <c r="F1530">
        <v>9.5</v>
      </c>
      <c r="G1530">
        <v>0.317</v>
      </c>
      <c r="L1530">
        <v>0.03</v>
      </c>
      <c r="O1530">
        <v>10</v>
      </c>
    </row>
    <row r="1531" spans="1:15" x14ac:dyDescent="0.2">
      <c r="A1531" t="s">
        <v>60</v>
      </c>
      <c r="B1531">
        <v>6</v>
      </c>
      <c r="C1531" t="s">
        <v>13</v>
      </c>
      <c r="D1531">
        <v>8</v>
      </c>
      <c r="E1531">
        <v>2.2728000000000002</v>
      </c>
      <c r="F1531">
        <v>14.7</v>
      </c>
      <c r="G1531">
        <v>0.20799999999999999</v>
      </c>
      <c r="L1531">
        <v>0.03</v>
      </c>
      <c r="O1531">
        <v>10</v>
      </c>
    </row>
    <row r="1532" spans="1:15" x14ac:dyDescent="0.2">
      <c r="A1532" t="s">
        <v>60</v>
      </c>
      <c r="B1532">
        <v>6</v>
      </c>
      <c r="C1532" t="s">
        <v>13</v>
      </c>
      <c r="D1532">
        <v>9</v>
      </c>
      <c r="E1532">
        <v>2.7605</v>
      </c>
      <c r="F1532">
        <v>4.7</v>
      </c>
      <c r="G1532">
        <v>0.17699999999999999</v>
      </c>
      <c r="L1532">
        <v>0.03</v>
      </c>
      <c r="O1532">
        <v>10</v>
      </c>
    </row>
    <row r="1533" spans="1:15" x14ac:dyDescent="0.2">
      <c r="A1533" t="s">
        <v>60</v>
      </c>
      <c r="B1533">
        <v>6</v>
      </c>
      <c r="C1533" t="s">
        <v>15</v>
      </c>
      <c r="D1533">
        <v>1</v>
      </c>
      <c r="E1533">
        <v>0.4259</v>
      </c>
      <c r="F1533">
        <v>39.6</v>
      </c>
      <c r="G1533">
        <v>0.33400000000000002</v>
      </c>
      <c r="L1533">
        <v>0.03</v>
      </c>
      <c r="O1533">
        <v>5</v>
      </c>
    </row>
    <row r="1534" spans="1:15" x14ac:dyDescent="0.2">
      <c r="A1534" t="s">
        <v>60</v>
      </c>
      <c r="B1534">
        <v>6</v>
      </c>
      <c r="C1534" t="s">
        <v>15</v>
      </c>
      <c r="D1534">
        <v>2</v>
      </c>
      <c r="E1534">
        <v>0.46729999999999999</v>
      </c>
      <c r="F1534">
        <v>37.5</v>
      </c>
      <c r="G1534">
        <v>0.38900000000000001</v>
      </c>
      <c r="L1534">
        <v>0.03</v>
      </c>
      <c r="O1534">
        <v>5</v>
      </c>
    </row>
    <row r="1535" spans="1:15" x14ac:dyDescent="0.2">
      <c r="A1535" t="s">
        <v>60</v>
      </c>
      <c r="B1535">
        <v>6</v>
      </c>
      <c r="C1535" t="s">
        <v>15</v>
      </c>
      <c r="D1535">
        <v>3</v>
      </c>
      <c r="E1535">
        <v>0.47420000000000001</v>
      </c>
      <c r="F1535">
        <v>35.9</v>
      </c>
      <c r="G1535">
        <v>0.82599999999999996</v>
      </c>
      <c r="L1535">
        <v>0.03</v>
      </c>
      <c r="O1535">
        <v>5</v>
      </c>
    </row>
    <row r="1536" spans="1:15" x14ac:dyDescent="0.2">
      <c r="A1536" t="s">
        <v>60</v>
      </c>
      <c r="B1536">
        <v>6</v>
      </c>
      <c r="C1536" t="s">
        <v>15</v>
      </c>
      <c r="D1536">
        <v>4</v>
      </c>
      <c r="E1536">
        <v>0.4143</v>
      </c>
      <c r="F1536">
        <v>33.4</v>
      </c>
      <c r="G1536">
        <v>0.48799999999999999</v>
      </c>
      <c r="L1536">
        <v>0.03</v>
      </c>
      <c r="O1536">
        <v>5</v>
      </c>
    </row>
    <row r="1537" spans="1:15" x14ac:dyDescent="0.2">
      <c r="A1537" t="s">
        <v>60</v>
      </c>
      <c r="B1537">
        <v>6</v>
      </c>
      <c r="C1537" t="s">
        <v>15</v>
      </c>
      <c r="D1537">
        <v>5</v>
      </c>
      <c r="E1537">
        <v>0.41070000000000001</v>
      </c>
      <c r="F1537">
        <v>39.5</v>
      </c>
      <c r="G1537">
        <v>0.42499999999999999</v>
      </c>
      <c r="L1537">
        <v>0.03</v>
      </c>
      <c r="O1537">
        <v>5</v>
      </c>
    </row>
    <row r="1538" spans="1:15" x14ac:dyDescent="0.2">
      <c r="A1538" t="s">
        <v>60</v>
      </c>
      <c r="B1538">
        <v>6</v>
      </c>
      <c r="C1538" t="s">
        <v>15</v>
      </c>
      <c r="D1538">
        <v>6</v>
      </c>
      <c r="E1538">
        <v>0.4859</v>
      </c>
      <c r="F1538">
        <v>38.200000000000003</v>
      </c>
      <c r="G1538">
        <v>0.625</v>
      </c>
      <c r="L1538">
        <v>0.03</v>
      </c>
      <c r="O1538">
        <v>5</v>
      </c>
    </row>
    <row r="1539" spans="1:15" x14ac:dyDescent="0.2">
      <c r="A1539" t="s">
        <v>60</v>
      </c>
      <c r="B1539">
        <v>6</v>
      </c>
      <c r="C1539" t="s">
        <v>15</v>
      </c>
      <c r="D1539">
        <v>7</v>
      </c>
      <c r="E1539">
        <v>0.4249</v>
      </c>
      <c r="F1539">
        <v>35.5</v>
      </c>
      <c r="G1539">
        <v>0.81200000000000006</v>
      </c>
      <c r="L1539">
        <v>0.03</v>
      </c>
      <c r="O1539">
        <v>5</v>
      </c>
    </row>
    <row r="1540" spans="1:15" x14ac:dyDescent="0.2">
      <c r="A1540" t="s">
        <v>60</v>
      </c>
      <c r="B1540">
        <v>6</v>
      </c>
      <c r="C1540" t="s">
        <v>15</v>
      </c>
      <c r="D1540">
        <v>8</v>
      </c>
      <c r="E1540">
        <v>0.39450000000000002</v>
      </c>
      <c r="F1540">
        <v>40</v>
      </c>
      <c r="G1540">
        <v>0.24199999999999999</v>
      </c>
      <c r="L1540">
        <v>0.03</v>
      </c>
      <c r="O1540">
        <v>5</v>
      </c>
    </row>
    <row r="1541" spans="1:15" x14ac:dyDescent="0.2">
      <c r="A1541" t="s">
        <v>60</v>
      </c>
      <c r="B1541">
        <v>6</v>
      </c>
      <c r="C1541" t="s">
        <v>15</v>
      </c>
      <c r="D1541">
        <v>9</v>
      </c>
      <c r="E1541">
        <v>0.42059999999999997</v>
      </c>
      <c r="F1541">
        <v>37.9</v>
      </c>
      <c r="G1541">
        <v>0.40400000000000003</v>
      </c>
      <c r="L1541">
        <v>0.03</v>
      </c>
      <c r="O1541">
        <v>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Grosscup</dc:creator>
  <cp:lastModifiedBy>John Grosscup</cp:lastModifiedBy>
  <dcterms:created xsi:type="dcterms:W3CDTF">2026-09-17T20:47:43Z</dcterms:created>
  <dcterms:modified xsi:type="dcterms:W3CDTF">2026-10-04T01:04:00Z</dcterms:modified>
</cp:coreProperties>
</file>